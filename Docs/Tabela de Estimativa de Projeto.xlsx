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500" activeTab="2"/>
  </bookViews>
  <sheets>
    <sheet name="Geral" sheetId="1" r:id="rId1"/>
    <sheet name="Atores" sheetId="2" r:id="rId2"/>
    <sheet name="RFS ou RFC" sheetId="3" r:id="rId3"/>
    <sheet name="Fatores" sheetId="4" r:id="rId4"/>
    <sheet name="dadoshistoricos" sheetId="5" r:id="rId5"/>
  </sheets>
  <definedNames>
    <definedName name="Atores">Atores!$B$13:$C$17</definedName>
    <definedName name="CUC">'RFS ou RFC'!$D$13:$D$39</definedName>
    <definedName name="FCAMB">Fatores!$G$36</definedName>
    <definedName name="FCTEC">Fatores!$E$22</definedName>
    <definedName name="ITEC">Fatores!$E$22</definedName>
    <definedName name="PTA">Atores!$D$10</definedName>
    <definedName name="PTUC">'RFS ou RFC'!$D$10</definedName>
    <definedName name="TotalDiasUteisProjeto">Geral!#REF!</definedName>
    <definedName name="TotalHorasProjeto">Geral!#REF!</definedName>
    <definedName name="UC">'RFS ou RFC'!$A$12:$C$39</definedName>
    <definedName name="_xlnm._FilterDatabase" localSheetId="1">Atores!$B$13:$C$17</definedName>
    <definedName name="_Toc112831755" localSheetId="2">'RFS ou RFC'!$B$13</definedName>
    <definedName name="_xlnm._FilterDatabase" localSheetId="2">'RFS ou RFC'!$A$12:$E$39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Autor desconhecido</author>
  </authors>
  <commentList>
    <comment ref="B7" authorId="0">
      <text>
        <r>
          <rPr>
            <sz val="10"/>
            <rFont val="Arial"/>
            <charset val="134"/>
          </rPr>
          <t xml:space="preserve">Ator Simples:
</t>
        </r>
        <r>
          <rPr>
            <sz val="8"/>
            <color rgb="FF000000"/>
            <rFont val="Tahoma"/>
            <charset val="1"/>
          </rPr>
          <t>Representa um outro sistema com Interface definida de Programas.</t>
        </r>
      </text>
    </comment>
    <comment ref="B8" authorId="0">
      <text>
        <r>
          <rPr>
            <sz val="10"/>
            <rFont val="Arial"/>
            <charset val="134"/>
          </rPr>
          <t xml:space="preserve">Ator Médio:
</t>
        </r>
        <r>
          <rPr>
            <sz val="8"/>
            <color rgb="FF000000"/>
            <rFont val="Tahoma"/>
            <charset val="1"/>
          </rPr>
          <t>Representa um outro sistema que  interage através de protocolos ou quando há interação humana através de terminal.</t>
        </r>
      </text>
    </comment>
    <comment ref="B9" authorId="0">
      <text>
        <r>
          <rPr>
            <sz val="10"/>
            <rFont val="Arial"/>
            <charset val="134"/>
          </rPr>
          <t xml:space="preserve">Ator Complexo:
</t>
        </r>
        <r>
          <rPr>
            <sz val="8"/>
            <color rgb="FF000000"/>
            <rFont val="Tahoma"/>
            <charset val="1"/>
          </rPr>
          <t>É uma pessoa que interage através de Interface
Gráfica ou página Web.</t>
        </r>
      </text>
    </comment>
  </commentList>
</comments>
</file>

<file path=xl/comments2.xml><?xml version="1.0" encoding="utf-8"?>
<comments xmlns="http://schemas.openxmlformats.org/spreadsheetml/2006/main">
  <authors>
    <author>Autor desconhecido</author>
  </authors>
  <commentList>
    <comment ref="B7" authorId="0">
      <text>
        <r>
          <rPr>
            <sz val="10"/>
            <rFont val="Arial"/>
            <charset val="134"/>
          </rPr>
          <t xml:space="preserve">UC Simples:
</t>
        </r>
        <r>
          <rPr>
            <sz val="8"/>
            <color rgb="FF000000"/>
            <rFont val="Tahoma"/>
            <charset val="1"/>
          </rPr>
          <t>Tem até 2
 Entidades</t>
        </r>
      </text>
    </comment>
    <comment ref="B8" authorId="0">
      <text>
        <r>
          <rPr>
            <sz val="10"/>
            <rFont val="Arial"/>
            <charset val="134"/>
          </rPr>
          <t xml:space="preserve">UC Médio:
</t>
        </r>
        <r>
          <rPr>
            <sz val="8"/>
            <color rgb="FF000000"/>
            <rFont val="Tahoma"/>
            <charset val="1"/>
          </rPr>
          <t>Tem de 2 a 3 Entidades.</t>
        </r>
      </text>
    </comment>
    <comment ref="B9" authorId="0">
      <text>
        <r>
          <rPr>
            <sz val="10"/>
            <rFont val="Arial"/>
            <charset val="134"/>
          </rPr>
          <t xml:space="preserve">UC Complexo:
</t>
        </r>
        <r>
          <rPr>
            <sz val="8"/>
            <color rgb="FF000000"/>
            <rFont val="Tahoma"/>
            <charset val="1"/>
          </rPr>
          <t>Acima de 4 entidades.</t>
        </r>
      </text>
    </comment>
    <comment ref="D12" authorId="0">
      <text>
        <r>
          <rPr>
            <sz val="10"/>
            <rFont val="Arial"/>
            <charset val="134"/>
          </rPr>
          <t xml:space="preserve">Fórmula para Identificar de forma automática a complexidade do UC:
</t>
        </r>
        <r>
          <rPr>
            <sz val="8"/>
            <color rgb="FF000000"/>
            <rFont val="Tahoma"/>
            <charset val="1"/>
          </rPr>
          <t>=SE(C13&lt;4;"Simples";(SE(C13&gt;7;"Complexo";"Médio")))</t>
        </r>
      </text>
    </comment>
  </commentList>
</comments>
</file>

<file path=xl/sharedStrings.xml><?xml version="1.0" encoding="utf-8"?>
<sst xmlns="http://schemas.openxmlformats.org/spreadsheetml/2006/main" count="191" uniqueCount="175">
  <si>
    <t>Estimativa de Esforço de Projeto baseado em                                                                Pontos de Caso de Uso (vs 1.1)</t>
  </si>
  <si>
    <t>Projeto:</t>
  </si>
  <si>
    <t>&lt;Nome do projeto&gt;</t>
  </si>
  <si>
    <t>Responsável:</t>
  </si>
  <si>
    <t>&lt;Nome do responsável pela estimativa&gt;</t>
  </si>
  <si>
    <t>Data:</t>
  </si>
  <si>
    <t>&lt;data da estimativa&gt;</t>
  </si>
  <si>
    <t>Vs. do Documento:</t>
  </si>
  <si>
    <t>x.x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</si>
  <si>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</si>
  <si>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</si>
  <si>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</si>
  <si>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</si>
  <si>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</si>
  <si>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</si>
  <si>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</si>
  <si>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RFS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</si>
  <si>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</si>
  <si>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</si>
  <si>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</si>
  <si>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</si>
  <si>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</si>
  <si>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</si>
  <si>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</si>
  <si>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</si>
  <si>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</si>
  <si>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</si>
  <si>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RFS ou RFC indicando os Requisitos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</si>
  <si>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</si>
  <si>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</si>
  <si>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</si>
  <si>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</si>
  <si>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</si>
  <si>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</si>
  <si>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</si>
  <si>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</si>
  <si>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</si>
  <si>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</si>
  <si>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</si>
  <si>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</si>
  <si>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</si>
  <si>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</si>
  <si>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>Administrador</t>
  </si>
  <si>
    <t>Recepcionista</t>
  </si>
  <si>
    <t>Profissional</t>
  </si>
  <si>
    <t>Cliente</t>
  </si>
  <si>
    <t>Total</t>
  </si>
  <si>
    <t>Casos de Uso do Projeto</t>
  </si>
  <si>
    <t>Complexidade do RF</t>
  </si>
  <si>
    <t>Qt. de UC</t>
  </si>
  <si>
    <t>Peso Total UC</t>
  </si>
  <si>
    <t>ID</t>
  </si>
  <si>
    <t>Nome do RFC ou RFS</t>
  </si>
  <si>
    <t>Nro Entidades</t>
  </si>
  <si>
    <t>Discriminar Transações(opcional)</t>
  </si>
  <si>
    <t>[RFS01]</t>
  </si>
  <si>
    <t>Inserir Usuário</t>
  </si>
  <si>
    <t>[RFS02]</t>
  </si>
  <si>
    <t>Consultar Usuário</t>
  </si>
  <si>
    <t>[RFS03]</t>
  </si>
  <si>
    <t>Editar Usuário</t>
  </si>
  <si>
    <t>[RFS04]</t>
  </si>
  <si>
    <t>Remover Usuário</t>
  </si>
  <si>
    <t>[RFS05]</t>
  </si>
  <si>
    <t>Inserir Cliente</t>
  </si>
  <si>
    <t>[RFS06]</t>
  </si>
  <si>
    <t>Consultar Cliente</t>
  </si>
  <si>
    <t>[RFS07]</t>
  </si>
  <si>
    <t>Editar Cliente</t>
  </si>
  <si>
    <t>[RFS08]</t>
  </si>
  <si>
    <t>Inativar Cliente</t>
  </si>
  <si>
    <t>[RFS09]</t>
  </si>
  <si>
    <t>Inserir Profissional</t>
  </si>
  <si>
    <t>[RFS10]</t>
  </si>
  <si>
    <t>Consultar Profissional</t>
  </si>
  <si>
    <t>[RFS11]</t>
  </si>
  <si>
    <t>Editar Profissional</t>
  </si>
  <si>
    <t>[RFS12]</t>
  </si>
  <si>
    <t>Inativar Profissional</t>
  </si>
  <si>
    <t>[RFS13]</t>
  </si>
  <si>
    <t>Inserir Serviço</t>
  </si>
  <si>
    <t>[RFS14]</t>
  </si>
  <si>
    <t>Consultar Serviço</t>
  </si>
  <si>
    <t>[RFS15]</t>
  </si>
  <si>
    <t>Editar Serviço</t>
  </si>
  <si>
    <t>[RFS16]</t>
  </si>
  <si>
    <t>Remover Serviço</t>
  </si>
  <si>
    <t>[RFS17]</t>
  </si>
  <si>
    <t>Inserir Agendamento</t>
  </si>
  <si>
    <t>[RFS18]</t>
  </si>
  <si>
    <t>Consultar Agendamento</t>
  </si>
  <si>
    <t>[RFS19]</t>
  </si>
  <si>
    <t>Editar Agendamento</t>
  </si>
  <si>
    <t>[RFS20]</t>
  </si>
  <si>
    <t>Cancelar Agendamento</t>
  </si>
  <si>
    <t>[RFS21]</t>
  </si>
  <si>
    <t>Consultar Agenda</t>
  </si>
  <si>
    <t>[RFC01]</t>
  </si>
  <si>
    <t>Consultar Histórico de Atendimentos</t>
  </si>
  <si>
    <t>[RFC02]</t>
  </si>
  <si>
    <t>Controlar Pagamentos</t>
  </si>
  <si>
    <t>[RFC03]</t>
  </si>
  <si>
    <t>Enviar Notificações Automáticas</t>
  </si>
  <si>
    <t>[RFC04]</t>
  </si>
  <si>
    <t>Gerar Relatório de Faturamento Financeiro</t>
  </si>
  <si>
    <t>[RFC05]</t>
  </si>
  <si>
    <t>Gerar Relatório de Desempenho e Faltas (Absenteísmo)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</si>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</sst>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0.0"/>
    <numFmt numFmtId="181" formatCode="0.0%"/>
    <numFmt numFmtId="182" formatCode="&quot;UC&quot;00#"/>
  </numFmts>
  <fonts count="36">
    <font>
      <sz val="10"/>
      <name val="Arial"/>
      <charset val="1"/>
    </font>
    <font>
      <b/>
      <i/>
      <sz val="14"/>
      <name val="Arial"/>
      <charset val="1"/>
    </font>
    <font>
      <b/>
      <i/>
      <sz val="12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FFFFFF"/>
      <name val="Arial"/>
      <charset val="1"/>
    </font>
    <font>
      <b/>
      <sz val="12"/>
      <name val="Arial"/>
      <charset val="1"/>
    </font>
    <font>
      <sz val="10"/>
      <name val="Arial"/>
      <charset val="134"/>
    </font>
    <font>
      <sz val="10"/>
      <color rgb="FF000000"/>
      <name val="Arial"/>
      <charset val="1"/>
    </font>
    <font>
      <b/>
      <sz val="10"/>
      <name val="Arial"/>
      <charset val="134"/>
    </font>
    <font>
      <u/>
      <sz val="10"/>
      <name val="Arial"/>
      <charset val="1"/>
    </font>
    <font>
      <sz val="12"/>
      <name val="Arial"/>
      <charset val="1"/>
    </font>
    <font>
      <sz val="10"/>
      <color rgb="FF0000FF"/>
      <name val="Arial"/>
      <charset val="1"/>
    </font>
    <font>
      <sz val="10"/>
      <color rgb="FFFF0000"/>
      <name val="Arial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0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8"/>
      <color rgb="FF000000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  <fill>
      <patternFill patternType="solid">
        <fgColor rgb="FF003366"/>
        <bgColor rgb="FF333399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Border="0" applyAlignment="0" applyProtection="0"/>
    <xf numFmtId="177" fontId="14" fillId="0" borderId="0" applyBorder="0" applyAlignment="0" applyProtection="0"/>
    <xf numFmtId="9" fontId="0" fillId="0" borderId="0" applyBorder="0" applyProtection="0"/>
    <xf numFmtId="178" fontId="14" fillId="0" borderId="0" applyBorder="0" applyAlignment="0" applyProtection="0"/>
    <xf numFmtId="179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46" applyNumberFormat="0" applyAlignment="0" applyProtection="0">
      <alignment vertical="center"/>
    </xf>
    <xf numFmtId="0" fontId="25" fillId="9" borderId="47" applyNumberFormat="0" applyAlignment="0" applyProtection="0">
      <alignment vertical="center"/>
    </xf>
    <xf numFmtId="0" fontId="26" fillId="9" borderId="46" applyNumberFormat="0" applyAlignment="0" applyProtection="0">
      <alignment vertical="center"/>
    </xf>
    <xf numFmtId="0" fontId="27" fillId="10" borderId="48" applyNumberFormat="0" applyAlignment="0" applyProtection="0">
      <alignment vertical="center"/>
    </xf>
    <xf numFmtId="0" fontId="28" fillId="0" borderId="49" applyNumberFormat="0" applyFill="0" applyAlignment="0" applyProtection="0">
      <alignment vertical="center"/>
    </xf>
    <xf numFmtId="0" fontId="29" fillId="0" borderId="50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139">
    <xf numFmtId="0" fontId="0" fillId="0" borderId="0" xfId="0"/>
    <xf numFmtId="0" fontId="0" fillId="0" borderId="0" xfId="0" applyAlignment="1" applyProtection="1"/>
    <xf numFmtId="0" fontId="0" fillId="2" borderId="0" xfId="0" applyFont="1" applyFill="1" applyBorder="1" applyAlignment="1" applyProtection="1"/>
    <xf numFmtId="0" fontId="1" fillId="2" borderId="1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/>
    <xf numFmtId="0" fontId="3" fillId="3" borderId="2" xfId="0" applyFont="1" applyFill="1" applyBorder="1" applyAlignment="1" applyProtection="1"/>
    <xf numFmtId="0" fontId="3" fillId="3" borderId="3" xfId="0" applyFont="1" applyFill="1" applyBorder="1" applyAlignment="1" applyProtection="1"/>
    <xf numFmtId="0" fontId="3" fillId="3" borderId="4" xfId="0" applyFont="1" applyFill="1" applyBorder="1" applyAlignment="1" applyProtection="1"/>
    <xf numFmtId="0" fontId="3" fillId="3" borderId="5" xfId="0" applyFont="1" applyFill="1" applyBorder="1" applyAlignment="1" applyProtection="1"/>
    <xf numFmtId="0" fontId="0" fillId="2" borderId="6" xfId="0" applyFont="1" applyFill="1" applyBorder="1" applyAlignment="1" applyProtection="1"/>
    <xf numFmtId="0" fontId="0" fillId="2" borderId="7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9" xfId="0" applyFont="1" applyFill="1" applyBorder="1" applyAlignment="1" applyProtection="1">
      <alignment horizontal="center"/>
    </xf>
    <xf numFmtId="180" fontId="0" fillId="2" borderId="10" xfId="0" applyNumberFormat="1" applyFont="1" applyFill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2" borderId="12" xfId="0" applyFont="1" applyFill="1" applyBorder="1" applyAlignment="1" applyProtection="1"/>
    <xf numFmtId="180" fontId="0" fillId="2" borderId="13" xfId="0" applyNumberFormat="1" applyFont="1" applyFill="1" applyBorder="1" applyAlignment="1" applyProtection="1">
      <alignment horizontal="center"/>
    </xf>
    <xf numFmtId="0" fontId="0" fillId="2" borderId="14" xfId="0" applyFont="1" applyFill="1" applyBorder="1" applyAlignment="1" applyProtection="1"/>
    <xf numFmtId="0" fontId="0" fillId="2" borderId="15" xfId="0" applyFont="1" applyFill="1" applyBorder="1" applyAlignment="1" applyProtection="1">
      <alignment horizontal="center"/>
    </xf>
    <xf numFmtId="0" fontId="0" fillId="2" borderId="16" xfId="0" applyFont="1" applyFill="1" applyBorder="1" applyAlignment="1" applyProtection="1">
      <alignment horizontal="center"/>
    </xf>
    <xf numFmtId="180" fontId="0" fillId="2" borderId="17" xfId="0" applyNumberFormat="1" applyFont="1" applyFill="1" applyBorder="1" applyAlignment="1" applyProtection="1">
      <alignment horizontal="center"/>
    </xf>
    <xf numFmtId="0" fontId="4" fillId="2" borderId="18" xfId="0" applyFont="1" applyFill="1" applyBorder="1" applyAlignment="1" applyProtection="1"/>
    <xf numFmtId="0" fontId="0" fillId="2" borderId="19" xfId="0" applyFont="1" applyFill="1" applyBorder="1" applyAlignment="1" applyProtection="1">
      <alignment horizontal="center"/>
    </xf>
    <xf numFmtId="0" fontId="0" fillId="2" borderId="20" xfId="0" applyFont="1" applyFill="1" applyBorder="1" applyAlignment="1" applyProtection="1">
      <alignment horizontal="center"/>
    </xf>
    <xf numFmtId="0" fontId="3" fillId="4" borderId="21" xfId="0" applyFont="1" applyFill="1" applyBorder="1" applyAlignment="1" applyProtection="1">
      <alignment horizontal="center"/>
    </xf>
    <xf numFmtId="180" fontId="3" fillId="3" borderId="22" xfId="0" applyNumberFormat="1" applyFont="1" applyFill="1" applyBorder="1" applyAlignment="1" applyProtection="1">
      <alignment horizontal="center"/>
    </xf>
    <xf numFmtId="0" fontId="3" fillId="3" borderId="23" xfId="0" applyFont="1" applyFill="1" applyBorder="1" applyAlignment="1" applyProtection="1"/>
    <xf numFmtId="0" fontId="5" fillId="3" borderId="23" xfId="0" applyFont="1" applyFill="1" applyBorder="1" applyAlignment="1" applyProtection="1"/>
    <xf numFmtId="0" fontId="3" fillId="3" borderId="22" xfId="0" applyFont="1" applyFill="1" applyBorder="1" applyAlignment="1" applyProtection="1">
      <alignment horizontal="center"/>
    </xf>
    <xf numFmtId="181" fontId="3" fillId="3" borderId="22" xfId="3" applyNumberFormat="1" applyFont="1" applyFill="1" applyBorder="1" applyAlignment="1" applyProtection="1">
      <alignment horizontal="center"/>
    </xf>
    <xf numFmtId="181" fontId="4" fillId="2" borderId="0" xfId="0" applyNumberFormat="1" applyFont="1" applyFill="1" applyBorder="1" applyAlignment="1" applyProtection="1">
      <alignment horizontal="center"/>
    </xf>
    <xf numFmtId="0" fontId="0" fillId="2" borderId="0" xfId="0" applyFont="1" applyFill="1" applyAlignment="1" applyProtection="1"/>
    <xf numFmtId="0" fontId="6" fillId="2" borderId="1" xfId="0" applyFont="1" applyFill="1" applyBorder="1" applyAlignment="1" applyProtection="1">
      <alignment horizontal="center"/>
    </xf>
    <xf numFmtId="0" fontId="4" fillId="5" borderId="8" xfId="0" applyFont="1" applyFill="1" applyBorder="1" applyAlignment="1" applyProtection="1">
      <alignment horizontal="left"/>
    </xf>
    <xf numFmtId="0" fontId="0" fillId="2" borderId="0" xfId="0" applyFill="1" applyBorder="1" applyAlignment="1" applyProtection="1"/>
    <xf numFmtId="0" fontId="4" fillId="6" borderId="8" xfId="0" applyFont="1" applyFill="1" applyBorder="1" applyAlignment="1" applyProtection="1">
      <alignment horizontal="center"/>
    </xf>
    <xf numFmtId="0" fontId="4" fillId="6" borderId="8" xfId="0" applyFont="1" applyFill="1" applyBorder="1" applyAlignment="1" applyProtection="1"/>
    <xf numFmtId="0" fontId="0" fillId="2" borderId="8" xfId="0" applyFill="1" applyBorder="1" applyAlignment="1" applyProtection="1">
      <alignment horizontal="center"/>
    </xf>
    <xf numFmtId="0" fontId="0" fillId="2" borderId="8" xfId="0" applyFont="1" applyFill="1" applyBorder="1" applyAlignment="1" applyProtection="1"/>
    <xf numFmtId="0" fontId="0" fillId="2" borderId="8" xfId="0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</xf>
    <xf numFmtId="0" fontId="4" fillId="2" borderId="8" xfId="0" applyFont="1" applyFill="1" applyBorder="1" applyAlignment="1" applyProtection="1">
      <alignment horizontal="right"/>
    </xf>
    <xf numFmtId="0" fontId="4" fillId="2" borderId="8" xfId="0" applyFont="1" applyFill="1" applyBorder="1" applyAlignment="1" applyProtection="1">
      <alignment horizontal="center"/>
    </xf>
    <xf numFmtId="0" fontId="4" fillId="5" borderId="11" xfId="0" applyFont="1" applyFill="1" applyBorder="1" applyAlignment="1" applyProtection="1">
      <alignment horizontal="left"/>
    </xf>
    <xf numFmtId="0" fontId="0" fillId="5" borderId="24" xfId="0" applyFill="1" applyBorder="1" applyAlignment="1" applyProtection="1"/>
    <xf numFmtId="0" fontId="0" fillId="5" borderId="25" xfId="0" applyFill="1" applyBorder="1" applyAlignment="1" applyProtection="1"/>
    <xf numFmtId="0" fontId="4" fillId="6" borderId="26" xfId="0" applyFont="1" applyFill="1" applyBorder="1" applyAlignment="1" applyProtection="1">
      <alignment horizontal="center"/>
    </xf>
    <xf numFmtId="0" fontId="4" fillId="6" borderId="26" xfId="0" applyFont="1" applyFill="1" applyBorder="1" applyAlignment="1" applyProtection="1">
      <alignment horizontal="left"/>
    </xf>
    <xf numFmtId="0" fontId="0" fillId="2" borderId="8" xfId="0" applyFont="1" applyFill="1" applyBorder="1" applyAlignment="1" applyProtection="1">
      <alignment horizontal="left"/>
    </xf>
    <xf numFmtId="0" fontId="4" fillId="2" borderId="8" xfId="0" applyFont="1" applyFill="1" applyBorder="1" applyAlignment="1" applyProtection="1"/>
    <xf numFmtId="0" fontId="0" fillId="0" borderId="0" xfId="0" applyAlignment="1" applyProtection="1">
      <protection locked="0"/>
    </xf>
    <xf numFmtId="0" fontId="0" fillId="2" borderId="0" xfId="0" applyFill="1" applyBorder="1" applyAlignment="1" applyProtection="1"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0" xfId="0" applyFont="1" applyFill="1" applyBorder="1" applyAlignment="1" applyProtection="1">
      <protection locked="0"/>
    </xf>
    <xf numFmtId="0" fontId="4" fillId="2" borderId="18" xfId="0" applyFont="1" applyFill="1" applyBorder="1" applyAlignment="1" applyProtection="1">
      <alignment horizontal="center"/>
      <protection locked="0"/>
    </xf>
    <xf numFmtId="0" fontId="4" fillId="2" borderId="19" xfId="0" applyFont="1" applyFill="1" applyBorder="1" applyAlignment="1" applyProtection="1">
      <alignment horizontal="center"/>
      <protection locked="0"/>
    </xf>
    <xf numFmtId="0" fontId="4" fillId="2" borderId="2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0" fillId="2" borderId="6" xfId="0" applyFont="1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12" xfId="0" applyFont="1" applyFill="1" applyBorder="1" applyAlignment="1" applyProtection="1">
      <alignment horizontal="center"/>
      <protection locked="0"/>
    </xf>
    <xf numFmtId="0" fontId="0" fillId="2" borderId="27" xfId="0" applyFill="1" applyBorder="1" applyAlignment="1" applyProtection="1">
      <alignment horizontal="center"/>
    </xf>
    <xf numFmtId="0" fontId="0" fillId="2" borderId="14" xfId="0" applyFont="1" applyFill="1" applyBorder="1" applyAlignment="1" applyProtection="1">
      <alignment horizontal="center"/>
      <protection locked="0"/>
    </xf>
    <xf numFmtId="0" fontId="0" fillId="2" borderId="28" xfId="0" applyFill="1" applyBorder="1" applyAlignment="1" applyProtection="1">
      <alignment horizontal="center"/>
      <protection locked="0"/>
    </xf>
    <xf numFmtId="0" fontId="4" fillId="2" borderId="22" xfId="0" applyFont="1" applyFill="1" applyBorder="1" applyAlignment="1" applyProtection="1">
      <alignment horizontal="center"/>
      <protection locked="0"/>
    </xf>
    <xf numFmtId="0" fontId="4" fillId="2" borderId="21" xfId="0" applyFont="1" applyFill="1" applyBorder="1" applyAlignment="1" applyProtection="1">
      <alignment horizontal="center"/>
    </xf>
    <xf numFmtId="0" fontId="4" fillId="2" borderId="29" xfId="0" applyFont="1" applyFill="1" applyBorder="1" applyAlignment="1" applyProtection="1">
      <protection locked="0"/>
    </xf>
    <xf numFmtId="0" fontId="4" fillId="2" borderId="30" xfId="0" applyFont="1" applyFill="1" applyBorder="1" applyAlignment="1" applyProtection="1">
      <protection locked="0"/>
    </xf>
    <xf numFmtId="0" fontId="4" fillId="2" borderId="30" xfId="0" applyFont="1" applyFill="1" applyBorder="1" applyAlignment="1" applyProtection="1">
      <alignment horizontal="left"/>
      <protection locked="0"/>
    </xf>
    <xf numFmtId="0" fontId="4" fillId="2" borderId="31" xfId="0" applyFont="1" applyFill="1" applyBorder="1" applyAlignment="1" applyProtection="1">
      <protection locked="0"/>
    </xf>
    <xf numFmtId="182" fontId="0" fillId="2" borderId="26" xfId="0" applyNumberFormat="1" applyFont="1" applyFill="1" applyBorder="1" applyAlignment="1" applyProtection="1">
      <protection locked="0"/>
    </xf>
    <xf numFmtId="0" fontId="0" fillId="2" borderId="26" xfId="0" applyFont="1" applyFill="1" applyBorder="1" applyAlignment="1" applyProtection="1"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26" xfId="0" applyFont="1" applyFill="1" applyBorder="1" applyAlignment="1" applyProtection="1">
      <alignment horizontal="center"/>
    </xf>
    <xf numFmtId="0" fontId="0" fillId="2" borderId="0" xfId="0" applyFill="1" applyAlignment="1" applyProtection="1">
      <protection locked="0"/>
    </xf>
    <xf numFmtId="0" fontId="0" fillId="0" borderId="8" xfId="0" applyFont="1" applyBorder="1" applyAlignment="1" applyProtection="1">
      <alignment wrapText="1"/>
    </xf>
    <xf numFmtId="0" fontId="0" fillId="2" borderId="8" xfId="0" applyFont="1" applyFill="1" applyBorder="1" applyAlignment="1" applyProtection="1">
      <protection locked="0"/>
    </xf>
    <xf numFmtId="182" fontId="7" fillId="2" borderId="26" xfId="0" applyNumberFormat="1" applyFont="1" applyFill="1" applyBorder="1" applyAlignment="1" applyProtection="1">
      <protection locked="0"/>
    </xf>
    <xf numFmtId="0" fontId="8" fillId="0" borderId="0" xfId="0" applyFont="1"/>
    <xf numFmtId="0" fontId="0" fillId="2" borderId="26" xfId="0" applyFont="1" applyFill="1" applyBorder="1" applyAlignment="1" applyProtection="1">
      <alignment horizontal="center"/>
      <protection locked="0"/>
    </xf>
    <xf numFmtId="182" fontId="9" fillId="2" borderId="26" xfId="0" applyNumberFormat="1" applyFont="1" applyFill="1" applyBorder="1" applyAlignment="1" applyProtection="1">
      <protection locked="0"/>
    </xf>
    <xf numFmtId="0" fontId="4" fillId="2" borderId="32" xfId="0" applyFont="1" applyFill="1" applyBorder="1" applyAlignment="1" applyProtection="1">
      <protection locked="0"/>
    </xf>
    <xf numFmtId="0" fontId="4" fillId="2" borderId="33" xfId="0" applyFont="1" applyFill="1" applyBorder="1" applyAlignment="1" applyProtection="1">
      <alignment horizontal="center"/>
      <protection locked="0"/>
    </xf>
    <xf numFmtId="0" fontId="4" fillId="2" borderId="32" xfId="0" applyFont="1" applyFill="1" applyBorder="1" applyAlignment="1" applyProtection="1">
      <alignment horizontal="center"/>
      <protection locked="0"/>
    </xf>
    <xf numFmtId="0" fontId="6" fillId="2" borderId="0" xfId="0" applyFont="1" applyFill="1" applyBorder="1" applyAlignment="1" applyProtection="1"/>
    <xf numFmtId="0" fontId="4" fillId="2" borderId="19" xfId="0" applyFont="1" applyFill="1" applyBorder="1" applyAlignment="1" applyProtection="1">
      <alignment horizontal="center"/>
    </xf>
    <xf numFmtId="0" fontId="4" fillId="2" borderId="20" xfId="0" applyFont="1" applyFill="1" applyBorder="1" applyAlignment="1" applyProtection="1"/>
    <xf numFmtId="0" fontId="0" fillId="2" borderId="34" xfId="0" applyFont="1" applyFill="1" applyBorder="1" applyAlignment="1" applyProtection="1">
      <alignment horizontal="center"/>
    </xf>
    <xf numFmtId="0" fontId="0" fillId="2" borderId="26" xfId="0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/>
    </xf>
    <xf numFmtId="0" fontId="0" fillId="2" borderId="14" xfId="0" applyFont="1" applyFill="1" applyBorder="1" applyAlignment="1" applyProtection="1">
      <alignment horizontal="center"/>
    </xf>
    <xf numFmtId="0" fontId="0" fillId="2" borderId="15" xfId="0" applyFill="1" applyBorder="1" applyAlignment="1" applyProtection="1">
      <alignment horizontal="center"/>
    </xf>
    <xf numFmtId="0" fontId="0" fillId="2" borderId="17" xfId="0" applyFill="1" applyBorder="1" applyAlignment="1" applyProtection="1">
      <alignment horizontal="center"/>
    </xf>
    <xf numFmtId="0" fontId="4" fillId="2" borderId="35" xfId="0" applyFont="1" applyFill="1" applyBorder="1" applyAlignment="1" applyProtection="1"/>
    <xf numFmtId="0" fontId="4" fillId="2" borderId="22" xfId="0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alignment horizontal="center"/>
      <protection locked="0"/>
    </xf>
    <xf numFmtId="0" fontId="0" fillId="0" borderId="8" xfId="0" applyFont="1" applyBorder="1" applyAlignment="1" applyProtection="1"/>
    <xf numFmtId="0" fontId="10" fillId="2" borderId="0" xfId="0" applyFont="1" applyFill="1" applyAlignment="1" applyProtection="1">
      <protection locked="0"/>
    </xf>
    <xf numFmtId="0" fontId="4" fillId="2" borderId="28" xfId="0" applyFont="1" applyFill="1" applyBorder="1" applyAlignment="1" applyProtection="1">
      <alignment horizontal="center"/>
      <protection locked="0"/>
    </xf>
    <xf numFmtId="0" fontId="4" fillId="2" borderId="36" xfId="0" applyFont="1" applyFill="1" applyBorder="1" applyAlignment="1" applyProtection="1">
      <alignment horizontal="center"/>
      <protection locked="0"/>
    </xf>
    <xf numFmtId="0" fontId="6" fillId="2" borderId="0" xfId="0" applyFont="1" applyFill="1" applyBorder="1" applyAlignment="1" applyProtection="1">
      <alignment vertical="center"/>
    </xf>
    <xf numFmtId="49" fontId="6" fillId="2" borderId="37" xfId="0" applyNumberFormat="1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horizontal="left" vertical="center"/>
    </xf>
    <xf numFmtId="0" fontId="11" fillId="2" borderId="0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</xf>
    <xf numFmtId="0" fontId="0" fillId="2" borderId="0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/>
    </xf>
    <xf numFmtId="0" fontId="0" fillId="2" borderId="0" xfId="0" applyFont="1" applyFill="1" applyBorder="1" applyAlignment="1" applyProtection="1">
      <alignment vertical="center"/>
      <protection locked="0"/>
    </xf>
    <xf numFmtId="0" fontId="0" fillId="2" borderId="0" xfId="0" applyFont="1" applyFill="1" applyBorder="1" applyAlignment="1" applyProtection="1">
      <alignment vertical="center"/>
    </xf>
    <xf numFmtId="0" fontId="12" fillId="2" borderId="0" xfId="0" applyFont="1" applyFill="1" applyAlignment="1" applyProtection="1"/>
    <xf numFmtId="0" fontId="13" fillId="2" borderId="0" xfId="0" applyFont="1" applyFill="1" applyBorder="1" applyAlignment="1" applyProtection="1">
      <protection locked="0"/>
    </xf>
    <xf numFmtId="0" fontId="13" fillId="2" borderId="0" xfId="0" applyFont="1" applyFill="1" applyAlignment="1" applyProtection="1"/>
    <xf numFmtId="0" fontId="4" fillId="5" borderId="22" xfId="0" applyFont="1" applyFill="1" applyBorder="1" applyAlignment="1" applyProtection="1">
      <alignment horizontal="center"/>
    </xf>
    <xf numFmtId="0" fontId="4" fillId="5" borderId="18" xfId="0" applyFont="1" applyFill="1" applyBorder="1" applyAlignment="1" applyProtection="1">
      <alignment horizontal="left"/>
    </xf>
    <xf numFmtId="0" fontId="4" fillId="5" borderId="2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/>
    <xf numFmtId="0" fontId="0" fillId="2" borderId="6" xfId="0" applyFont="1" applyFill="1" applyBorder="1" applyAlignment="1" applyProtection="1">
      <alignment horizontal="left"/>
    </xf>
    <xf numFmtId="2" fontId="0" fillId="2" borderId="9" xfId="0" applyNumberFormat="1" applyFill="1" applyBorder="1" applyAlignment="1" applyProtection="1">
      <alignment horizontal="center"/>
    </xf>
    <xf numFmtId="181" fontId="0" fillId="0" borderId="38" xfId="3" applyNumberFormat="1" applyBorder="1" applyAlignment="1" applyProtection="1">
      <alignment horizontal="center"/>
    </xf>
    <xf numFmtId="0" fontId="0" fillId="2" borderId="14" xfId="0" applyFont="1" applyFill="1" applyBorder="1" applyAlignment="1" applyProtection="1">
      <alignment horizontal="left"/>
    </xf>
    <xf numFmtId="180" fontId="0" fillId="2" borderId="17" xfId="0" applyNumberFormat="1" applyFill="1" applyBorder="1" applyAlignment="1" applyProtection="1">
      <alignment horizontal="center"/>
    </xf>
    <xf numFmtId="0" fontId="0" fillId="2" borderId="34" xfId="0" applyFont="1" applyFill="1" applyBorder="1" applyAlignment="1" applyProtection="1">
      <alignment horizontal="left"/>
    </xf>
    <xf numFmtId="2" fontId="0" fillId="2" borderId="39" xfId="0" applyNumberFormat="1" applyFill="1" applyBorder="1" applyAlignment="1" applyProtection="1">
      <alignment horizontal="center"/>
    </xf>
    <xf numFmtId="181" fontId="0" fillId="0" borderId="40" xfId="3" applyNumberFormat="1" applyBorder="1" applyAlignment="1" applyProtection="1">
      <alignment horizontal="center"/>
    </xf>
    <xf numFmtId="0" fontId="0" fillId="2" borderId="41" xfId="0" applyFill="1" applyBorder="1" applyAlignment="1" applyProtection="1">
      <alignment horizontal="left"/>
    </xf>
    <xf numFmtId="10" fontId="0" fillId="0" borderId="40" xfId="3" applyNumberFormat="1" applyBorder="1" applyAlignment="1" applyProtection="1">
      <alignment horizontal="center"/>
    </xf>
    <xf numFmtId="0" fontId="0" fillId="2" borderId="0" xfId="0" applyFill="1" applyBorder="1" applyAlignment="1" applyProtection="1">
      <alignment horizontal="left"/>
    </xf>
    <xf numFmtId="0" fontId="0" fillId="2" borderId="12" xfId="0" applyFont="1" applyFill="1" applyBorder="1" applyAlignment="1" applyProtection="1">
      <alignment horizontal="left"/>
    </xf>
    <xf numFmtId="0" fontId="4" fillId="2" borderId="1" xfId="0" applyFont="1" applyFill="1" applyBorder="1" applyAlignment="1" applyProtection="1"/>
    <xf numFmtId="0" fontId="4" fillId="2" borderId="14" xfId="0" applyFont="1" applyFill="1" applyBorder="1" applyAlignment="1" applyProtection="1">
      <alignment horizontal="center"/>
    </xf>
    <xf numFmtId="180" fontId="4" fillId="2" borderId="16" xfId="0" applyNumberFormat="1" applyFont="1" applyFill="1" applyBorder="1" applyAlignment="1" applyProtection="1">
      <alignment horizontal="center"/>
    </xf>
    <xf numFmtId="181" fontId="10" fillId="2" borderId="42" xfId="0" applyNumberFormat="1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left"/>
    </xf>
    <xf numFmtId="0" fontId="0" fillId="2" borderId="0" xfId="0" applyFont="1" applyFill="1" applyBorder="1" applyAlignment="1" applyProtection="1">
      <alignment horizontal="left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3:M37"/>
  <sheetViews>
    <sheetView zoomScale="120" zoomScaleNormal="120" topLeftCell="A6" workbookViewId="0">
      <selection activeCell="E24" sqref="E24"/>
    </sheetView>
  </sheetViews>
  <sheetFormatPr defaultColWidth="8.67592592592593" defaultRowHeight="13.2"/>
  <cols>
    <col min="1" max="1" width="6.27777777777778" style="1" customWidth="1"/>
    <col min="2" max="3" width="9.13888888888889" style="1" customWidth="1"/>
    <col min="4" max="4" width="17.712962962963" style="1" customWidth="1"/>
    <col min="5" max="8" width="9.13888888888889" style="1" customWidth="1"/>
    <col min="9" max="9" width="11.5185185185185" style="1" customWidth="1"/>
    <col min="10" max="10" width="10.5833333333333" style="1" customWidth="1"/>
    <col min="11" max="1025" width="9.13888888888889" style="1" customWidth="1"/>
  </cols>
  <sheetData>
    <row r="3" ht="15.75" customHeight="1" spans="1:13">
      <c r="A3" s="105"/>
      <c r="B3" s="106" t="s">
        <v>0</v>
      </c>
      <c r="C3" s="106"/>
      <c r="D3" s="106"/>
      <c r="E3" s="106"/>
      <c r="F3" s="106"/>
      <c r="G3" s="106"/>
      <c r="H3" s="106"/>
      <c r="I3" s="106"/>
      <c r="J3" s="106"/>
      <c r="K3" s="105"/>
    </row>
    <row r="4" ht="16.35" spans="1:13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5"/>
    </row>
    <row r="5" ht="19.5" customHeight="1"/>
    <row r="6" ht="15.6" spans="1:13">
      <c r="B6" s="107" t="s">
        <v>1</v>
      </c>
      <c r="C6" s="107"/>
      <c r="D6" s="108" t="s">
        <v>2</v>
      </c>
      <c r="E6" s="108"/>
      <c r="F6" s="108"/>
      <c r="G6" s="108"/>
      <c r="H6" s="108"/>
      <c r="I6" s="108"/>
    </row>
    <row r="7" spans="1:13">
      <c r="B7" s="109" t="s">
        <v>3</v>
      </c>
      <c r="C7" s="109"/>
      <c r="D7" s="110" t="s">
        <v>4</v>
      </c>
      <c r="E7" s="110"/>
      <c r="F7" s="110"/>
      <c r="G7" s="110"/>
      <c r="H7" s="110"/>
      <c r="I7" s="110"/>
    </row>
    <row r="8" spans="1:13">
      <c r="B8" s="111" t="s">
        <v>5</v>
      </c>
      <c r="C8" s="111"/>
      <c r="D8" s="112" t="s">
        <v>6</v>
      </c>
      <c r="E8" s="113"/>
      <c r="F8" s="109" t="s">
        <v>7</v>
      </c>
      <c r="G8" s="109"/>
      <c r="H8" s="112" t="s">
        <v>8</v>
      </c>
      <c r="I8" s="113"/>
    </row>
    <row r="9" spans="1:13">
      <c r="C9" s="114"/>
      <c r="D9" s="115" t="s">
        <v>9</v>
      </c>
      <c r="E9" s="115"/>
      <c r="F9" s="115"/>
      <c r="G9" s="115"/>
      <c r="H9" s="115"/>
      <c r="I9" s="115"/>
      <c r="J9" s="116"/>
    </row>
    <row r="11" ht="13.95"/>
    <row r="12" ht="13.95" spans="1:13">
      <c r="B12" s="117" t="s">
        <v>10</v>
      </c>
      <c r="C12" s="117"/>
      <c r="D12" s="117"/>
      <c r="E12" s="117"/>
      <c r="G12" s="118" t="s">
        <v>11</v>
      </c>
      <c r="H12" s="118"/>
      <c r="I12" s="118"/>
      <c r="J12" s="119" t="s">
        <v>12</v>
      </c>
      <c r="K12" s="119" t="s">
        <v>13</v>
      </c>
      <c r="M12" s="120"/>
    </row>
    <row r="13" spans="1:13">
      <c r="B13" s="121" t="s">
        <v>14</v>
      </c>
      <c r="C13" s="121"/>
      <c r="D13" s="121"/>
      <c r="E13" s="61">
        <f>(Atores!D10+'RFS ou RFC'!D10)*Fatores!E22*Fatores!G36</f>
        <v>72.35255</v>
      </c>
      <c r="G13" s="121" t="s">
        <v>15</v>
      </c>
      <c r="H13" s="121"/>
      <c r="I13" s="121"/>
      <c r="J13" s="122">
        <f t="shared" ref="J13:J20" si="0">$E$13*$E$14*K13</f>
        <v>10.129357</v>
      </c>
      <c r="K13" s="123">
        <f>dadoshistoricos!E31</f>
        <v>0.0466666666666667</v>
      </c>
      <c r="M13" s="35"/>
    </row>
    <row r="14" ht="13.95" spans="1:13">
      <c r="B14" s="124" t="s">
        <v>16</v>
      </c>
      <c r="C14" s="124"/>
      <c r="D14" s="124"/>
      <c r="E14" s="125">
        <v>3</v>
      </c>
      <c r="G14" s="126" t="s">
        <v>17</v>
      </c>
      <c r="H14" s="126"/>
      <c r="I14" s="126"/>
      <c r="J14" s="127">
        <f t="shared" si="0"/>
        <v>35.6939246666667</v>
      </c>
      <c r="K14" s="128">
        <f>dadoshistoricos!F31*0.8</f>
        <v>0.164444444444444</v>
      </c>
      <c r="M14" s="35"/>
    </row>
    <row r="15" spans="1:13">
      <c r="B15" s="129"/>
      <c r="C15" s="129"/>
      <c r="D15" s="129"/>
      <c r="G15" s="126" t="s">
        <v>18</v>
      </c>
      <c r="H15" s="126"/>
      <c r="I15" s="126"/>
      <c r="J15" s="127">
        <f t="shared" si="0"/>
        <v>8.92348116666667</v>
      </c>
      <c r="K15" s="130">
        <f>dadoshistoricos!F31*0.2</f>
        <v>0.0411111111111111</v>
      </c>
      <c r="M15" s="35"/>
    </row>
    <row r="16" spans="1:13">
      <c r="B16" s="131"/>
      <c r="C16" s="131"/>
      <c r="D16" s="131"/>
      <c r="G16" s="126" t="s">
        <v>19</v>
      </c>
      <c r="H16" s="126"/>
      <c r="I16" s="126"/>
      <c r="J16" s="127">
        <f t="shared" si="0"/>
        <v>14.47051</v>
      </c>
      <c r="K16" s="130">
        <f>dadoshistoricos!G31</f>
        <v>0.0666666666666667</v>
      </c>
      <c r="L16" s="35"/>
      <c r="M16" s="35"/>
    </row>
    <row r="17" spans="2:13">
      <c r="G17" s="132" t="s">
        <v>20</v>
      </c>
      <c r="H17" s="132"/>
      <c r="I17" s="132"/>
      <c r="J17" s="127">
        <f t="shared" si="0"/>
        <v>120.587583333333</v>
      </c>
      <c r="K17" s="130">
        <f>dadoshistoricos!H31</f>
        <v>0.555555555555556</v>
      </c>
      <c r="L17" s="35"/>
      <c r="M17" s="120"/>
    </row>
    <row r="18" spans="2:13">
      <c r="G18" s="132" t="s">
        <v>21</v>
      </c>
      <c r="H18" s="132"/>
      <c r="I18" s="132"/>
      <c r="J18" s="127">
        <f t="shared" si="0"/>
        <v>4.82350333333333</v>
      </c>
      <c r="K18" s="130">
        <f>dadoshistoricos!I31</f>
        <v>0.0222222222222222</v>
      </c>
      <c r="L18" s="35"/>
    </row>
    <row r="19" spans="2:13">
      <c r="E19" s="35"/>
      <c r="F19" s="35"/>
      <c r="G19" s="132" t="s">
        <v>22</v>
      </c>
      <c r="H19" s="132"/>
      <c r="I19" s="132"/>
      <c r="J19" s="127">
        <f t="shared" si="0"/>
        <v>14.7116851666667</v>
      </c>
      <c r="K19" s="130">
        <f>dadoshistoricos!J31</f>
        <v>0.0677777777777778</v>
      </c>
      <c r="L19" s="35"/>
    </row>
    <row r="20" ht="13.95" spans="2:13">
      <c r="B20" s="133" t="s">
        <v>23</v>
      </c>
      <c r="C20" s="133"/>
      <c r="D20" s="133"/>
      <c r="E20" s="133"/>
      <c r="F20" s="133"/>
      <c r="G20" s="132" t="s">
        <v>24</v>
      </c>
      <c r="H20" s="132"/>
      <c r="I20" s="132"/>
      <c r="J20" s="127">
        <f t="shared" si="0"/>
        <v>7.71760533333333</v>
      </c>
      <c r="K20" s="130">
        <f>dadoshistoricos!K31</f>
        <v>0.0355555555555556</v>
      </c>
      <c r="L20" s="35"/>
    </row>
    <row r="21" ht="14.7" spans="2:13">
      <c r="G21" s="134" t="s">
        <v>25</v>
      </c>
      <c r="H21" s="134"/>
      <c r="I21" s="134"/>
      <c r="J21" s="135">
        <f>SUM(J13:J20)</f>
        <v>217.05765</v>
      </c>
      <c r="K21" s="136">
        <f>SUM(K13:K20)</f>
        <v>1</v>
      </c>
      <c r="L21" s="35"/>
    </row>
    <row r="22" spans="2:13">
      <c r="B22" s="137" t="s">
        <v>26</v>
      </c>
      <c r="C22" s="137"/>
      <c r="D22" s="137"/>
      <c r="E22" s="137"/>
      <c r="F22" s="137"/>
      <c r="G22" s="137"/>
      <c r="H22" s="137"/>
      <c r="I22" s="137"/>
      <c r="J22" s="137"/>
      <c r="L22" s="35"/>
    </row>
    <row r="23" ht="12.75" customHeight="1" spans="2:13">
      <c r="B23" s="138" t="s">
        <v>27</v>
      </c>
      <c r="C23" s="138"/>
      <c r="D23" s="138"/>
      <c r="E23" s="138"/>
      <c r="F23" s="138"/>
      <c r="G23" s="138"/>
      <c r="H23" s="138"/>
      <c r="I23" s="138"/>
      <c r="J23" s="138"/>
      <c r="L23" s="35"/>
    </row>
    <row r="24" spans="2:13">
      <c r="B24" s="32" t="s">
        <v>28</v>
      </c>
      <c r="L24" s="35"/>
    </row>
    <row r="25" spans="2:13">
      <c r="B25" s="32" t="s">
        <v>29</v>
      </c>
      <c r="L25" s="35"/>
    </row>
    <row r="26" spans="2:13">
      <c r="L26" s="35"/>
    </row>
    <row r="27" spans="2:13">
      <c r="B27" s="32" t="s">
        <v>30</v>
      </c>
      <c r="L27" s="35"/>
    </row>
    <row r="28" ht="12.75" customHeight="1" spans="2:13">
      <c r="B28" s="138" t="s">
        <v>31</v>
      </c>
      <c r="C28" s="138"/>
      <c r="D28" s="138"/>
      <c r="E28" s="138"/>
      <c r="F28" s="138"/>
      <c r="G28" s="138"/>
      <c r="H28" s="138"/>
      <c r="I28" s="138"/>
      <c r="J28" s="138"/>
    </row>
    <row r="37" ht="23.25" customHeight="1"/>
  </sheetData>
  <mergeCells count="26">
    <mergeCell ref="B6:C6"/>
    <mergeCell ref="D6:I6"/>
    <mergeCell ref="B7:C7"/>
    <mergeCell ref="D7:I7"/>
    <mergeCell ref="B8:C8"/>
    <mergeCell ref="F8:G8"/>
    <mergeCell ref="D9:I9"/>
    <mergeCell ref="B12:E12"/>
    <mergeCell ref="G12:I12"/>
    <mergeCell ref="B13:D13"/>
    <mergeCell ref="G13:I13"/>
    <mergeCell ref="B14:D14"/>
    <mergeCell ref="G14:I14"/>
    <mergeCell ref="B15:D15"/>
    <mergeCell ref="G15:I15"/>
    <mergeCell ref="B16:D16"/>
    <mergeCell ref="G16:I16"/>
    <mergeCell ref="G17:I17"/>
    <mergeCell ref="G18:I18"/>
    <mergeCell ref="G19:I19"/>
    <mergeCell ref="G20:I20"/>
    <mergeCell ref="G21:I21"/>
    <mergeCell ref="B22:J22"/>
    <mergeCell ref="B23:J23"/>
    <mergeCell ref="B28:J28"/>
    <mergeCell ref="B3:J4"/>
  </mergeCells>
  <pageMargins left="0.39375" right="0.39375" top="0.984027777777778" bottom="0.984027777777778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L18"/>
  <sheetViews>
    <sheetView zoomScale="120" zoomScaleNormal="120" workbookViewId="0">
      <selection activeCell="C25" sqref="C25"/>
    </sheetView>
  </sheetViews>
  <sheetFormatPr defaultColWidth="8.67592592592593" defaultRowHeight="13.2"/>
  <cols>
    <col min="1" max="1" width="9.13888888888889" style="51" customWidth="1"/>
    <col min="2" max="2" width="29.712962962963" style="51" customWidth="1"/>
    <col min="3" max="3" width="16.712962962963" style="51" customWidth="1"/>
    <col min="4" max="4" width="12.712962962963" style="51" customWidth="1"/>
    <col min="5" max="5" width="9.13888888888889" style="51" customWidth="1"/>
    <col min="6" max="6" width="17.8611111111111" style="51" customWidth="1"/>
    <col min="7" max="7" width="4.71296296296296" style="51" customWidth="1"/>
    <col min="8" max="1025" width="9.13888888888889" style="51" customWidth="1"/>
  </cols>
  <sheetData>
    <row r="1" spans="1:1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ht="16.35" spans="1:12">
      <c r="A2" s="32"/>
      <c r="B2" s="33" t="s">
        <v>32</v>
      </c>
      <c r="C2" s="33"/>
      <c r="D2" s="33"/>
      <c r="E2" s="87"/>
      <c r="F2" s="32"/>
      <c r="G2" s="32"/>
      <c r="H2" s="32"/>
      <c r="I2" s="32"/>
      <c r="J2" s="32"/>
      <c r="K2" s="32"/>
      <c r="L2" s="32"/>
    </row>
    <row r="3" ht="13.95" spans="1:12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ht="13.95" spans="1:12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ht="13.95" spans="1:12">
      <c r="A6" s="32"/>
      <c r="B6" s="22" t="s">
        <v>33</v>
      </c>
      <c r="C6" s="88" t="s">
        <v>34</v>
      </c>
      <c r="D6" s="89" t="s">
        <v>35</v>
      </c>
      <c r="E6" s="32"/>
      <c r="F6" s="32"/>
      <c r="G6" s="32"/>
      <c r="H6" s="32"/>
      <c r="I6" s="32"/>
      <c r="J6" s="32"/>
      <c r="K6" s="32"/>
      <c r="L6" s="32"/>
    </row>
    <row r="7" spans="1:12">
      <c r="A7" s="32"/>
      <c r="B7" s="90" t="s">
        <v>36</v>
      </c>
      <c r="C7" s="91">
        <v>1</v>
      </c>
      <c r="D7" s="64">
        <f>COUNTIF(Atores,B7)</f>
        <v>1</v>
      </c>
      <c r="E7" s="32"/>
      <c r="F7" s="32"/>
      <c r="G7" s="32"/>
      <c r="H7" s="32"/>
      <c r="I7" s="32"/>
      <c r="J7" s="32"/>
      <c r="K7" s="32"/>
      <c r="L7" s="32"/>
    </row>
    <row r="8" spans="1:12">
      <c r="A8" s="32"/>
      <c r="B8" s="92" t="s">
        <v>37</v>
      </c>
      <c r="C8" s="38">
        <v>2</v>
      </c>
      <c r="D8" s="93">
        <f>COUNTIF(Atores,B8)</f>
        <v>2</v>
      </c>
      <c r="E8" s="32"/>
      <c r="F8" s="32"/>
      <c r="G8" s="32"/>
      <c r="H8" s="32"/>
      <c r="I8" s="32"/>
      <c r="J8" s="32"/>
      <c r="K8" s="32"/>
      <c r="L8" s="32"/>
    </row>
    <row r="9" ht="13.95" spans="1:12">
      <c r="A9" s="32"/>
      <c r="B9" s="94" t="s">
        <v>38</v>
      </c>
      <c r="C9" s="95">
        <v>3</v>
      </c>
      <c r="D9" s="96">
        <f>COUNTIF(Atores,B9)</f>
        <v>1</v>
      </c>
      <c r="E9" s="32"/>
      <c r="F9" s="32"/>
      <c r="G9" s="32"/>
      <c r="H9" s="32"/>
      <c r="I9" s="32"/>
      <c r="J9" s="32"/>
      <c r="K9" s="32"/>
      <c r="L9" s="32"/>
    </row>
    <row r="10" ht="13.95" spans="1:12">
      <c r="A10" s="32"/>
      <c r="B10" s="32"/>
      <c r="C10" s="97" t="s">
        <v>39</v>
      </c>
      <c r="D10" s="98">
        <f>(C7*D7)+(C8*D8)+(C9*D9)</f>
        <v>8</v>
      </c>
      <c r="E10" s="32"/>
      <c r="F10" s="32"/>
      <c r="G10" s="32"/>
      <c r="H10" s="32"/>
      <c r="I10" s="32"/>
      <c r="J10" s="32"/>
      <c r="K10" s="32"/>
      <c r="L10" s="32"/>
    </row>
    <row r="11" spans="1:12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>
      <c r="B12" s="1"/>
      <c r="C12" s="1"/>
      <c r="F12" s="1"/>
    </row>
    <row r="13" spans="1:12">
      <c r="B13" s="99" t="s">
        <v>40</v>
      </c>
      <c r="C13" s="99" t="s">
        <v>41</v>
      </c>
      <c r="F13" s="1"/>
    </row>
    <row r="14" spans="1:12">
      <c r="B14" s="79" t="s">
        <v>42</v>
      </c>
      <c r="C14" s="100" t="s">
        <v>38</v>
      </c>
      <c r="F14" s="1"/>
    </row>
    <row r="15" spans="1:12">
      <c r="B15" s="79" t="s">
        <v>43</v>
      </c>
      <c r="C15" s="100" t="s">
        <v>37</v>
      </c>
      <c r="F15" s="1"/>
    </row>
    <row r="16" spans="1:12">
      <c r="B16" s="101" t="s">
        <v>44</v>
      </c>
      <c r="C16" s="100" t="s">
        <v>37</v>
      </c>
      <c r="F16" s="1"/>
    </row>
    <row r="17" spans="2:6">
      <c r="B17" s="79" t="s">
        <v>45</v>
      </c>
      <c r="C17" s="100" t="s">
        <v>36</v>
      </c>
      <c r="F17" s="102"/>
    </row>
    <row r="18" spans="2:6">
      <c r="B18" s="103" t="s">
        <v>46</v>
      </c>
      <c r="C18" s="104">
        <f>D10</f>
        <v>8</v>
      </c>
    </row>
  </sheetData>
  <mergeCells count="1">
    <mergeCell ref="B2:D2"/>
  </mergeCells>
  <dataValidations count="1">
    <dataValidation type="list" showInputMessage="1" showErrorMessage="1" sqref="C14:C17">
      <formula1>"Simples,Médio,Complexo"</formula1>
    </dataValidation>
  </dataValidations>
  <pageMargins left="0.7875" right="0.7875" top="0.984027777777778" bottom="0.984027777777778" header="0.511811023622047" footer="0.511811023622047"/>
  <pageSetup paperSize="9" orientation="portrait" horizontalDpi="300" verticalDpi="3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O1010"/>
  <sheetViews>
    <sheetView tabSelected="1" zoomScale="120" zoomScaleNormal="120" workbookViewId="0">
      <selection activeCell="E35" sqref="E35"/>
    </sheetView>
  </sheetViews>
  <sheetFormatPr defaultColWidth="8.67592592592593" defaultRowHeight="13.2"/>
  <cols>
    <col min="1" max="1" width="8.14814814814815" style="51" customWidth="1"/>
    <col min="2" max="2" width="48.4259259259259" style="51" customWidth="1"/>
    <col min="3" max="3" width="16.712962962963" style="51" customWidth="1"/>
    <col min="4" max="4" width="18.1388888888889" style="51" customWidth="1"/>
    <col min="5" max="5" width="81.3333333333333" style="51" customWidth="1"/>
    <col min="6" max="6" width="9.41666666666667" style="51" customWidth="1"/>
    <col min="7" max="7" width="72.0092592592593" style="51" customWidth="1"/>
    <col min="8" max="14" width="9.13888888888889" style="51" customWidth="1"/>
    <col min="15" max="15" width="11.5277777777778" style="51" hidden="1" customWidth="1"/>
    <col min="16" max="16" width="5.71296296296296" style="51" customWidth="1"/>
    <col min="17" max="1025" width="9.13888888888889" style="51" customWidth="1"/>
  </cols>
  <sheetData>
    <row r="1" spans="1:15">
      <c r="A1" s="52"/>
      <c r="B1" s="52"/>
      <c r="C1" s="52"/>
      <c r="D1" s="52"/>
      <c r="E1" s="52"/>
      <c r="F1" s="1"/>
      <c r="G1" s="1"/>
      <c r="H1" s="1"/>
      <c r="O1" s="1"/>
    </row>
    <row r="2" ht="16.35" spans="1:15">
      <c r="A2" s="1"/>
      <c r="B2" s="53" t="s">
        <v>47</v>
      </c>
      <c r="C2" s="53"/>
      <c r="D2" s="53"/>
      <c r="E2" s="54"/>
      <c r="F2" s="54"/>
      <c r="G2" s="54"/>
      <c r="H2" s="1"/>
      <c r="O2" s="1"/>
    </row>
    <row r="3" ht="13.95" spans="1:15">
      <c r="A3" s="1"/>
      <c r="B3" s="1"/>
      <c r="C3" s="1"/>
      <c r="D3" s="1"/>
      <c r="E3" s="1"/>
      <c r="H3" s="1"/>
      <c r="O3" s="1"/>
    </row>
    <row r="4" spans="1:15">
      <c r="A4" s="1"/>
      <c r="B4" s="1"/>
      <c r="C4" s="1"/>
      <c r="D4" s="1"/>
      <c r="E4" s="1"/>
      <c r="H4" s="1"/>
      <c r="O4" s="1"/>
    </row>
    <row r="5" ht="13.95" spans="1:15">
      <c r="A5" s="1"/>
      <c r="B5" s="1"/>
      <c r="C5" s="1"/>
      <c r="D5" s="1"/>
      <c r="E5" s="1"/>
      <c r="H5" s="1"/>
      <c r="O5" s="1"/>
    </row>
    <row r="6" ht="13.95" spans="1:15">
      <c r="A6" s="1"/>
      <c r="B6" s="55" t="s">
        <v>48</v>
      </c>
      <c r="C6" s="56" t="s">
        <v>34</v>
      </c>
      <c r="D6" s="57" t="s">
        <v>49</v>
      </c>
      <c r="E6" s="58"/>
      <c r="H6" s="1"/>
      <c r="O6" s="1"/>
    </row>
    <row r="7" spans="1:15">
      <c r="A7" s="1"/>
      <c r="B7" s="59" t="s">
        <v>36</v>
      </c>
      <c r="C7" s="60">
        <v>2</v>
      </c>
      <c r="D7" s="61">
        <f>COUNTIF(CUC,B7)</f>
        <v>21</v>
      </c>
      <c r="E7" s="62"/>
      <c r="H7" s="1"/>
      <c r="O7" s="1"/>
    </row>
    <row r="8" spans="1:15">
      <c r="A8" s="1"/>
      <c r="B8" s="63" t="s">
        <v>37</v>
      </c>
      <c r="C8" s="40">
        <v>3</v>
      </c>
      <c r="D8" s="64">
        <f>COUNTIF(CUC,B8)</f>
        <v>5</v>
      </c>
      <c r="E8" s="62"/>
      <c r="H8" s="1"/>
      <c r="O8" s="1"/>
    </row>
    <row r="9" ht="13.95" spans="1:15">
      <c r="A9" s="1"/>
      <c r="B9" s="65" t="s">
        <v>38</v>
      </c>
      <c r="C9" s="66">
        <v>4</v>
      </c>
      <c r="D9" s="64">
        <f>COUNTIF(CUC,B8)+1</f>
        <v>6</v>
      </c>
      <c r="E9" s="62"/>
      <c r="H9" s="1"/>
      <c r="O9" s="1"/>
    </row>
    <row r="10" ht="13.95" spans="1:15">
      <c r="A10" s="1"/>
      <c r="B10" s="1"/>
      <c r="C10" s="67" t="s">
        <v>50</v>
      </c>
      <c r="D10" s="68">
        <f>(C7*D7)+(C8*D8)+(C9*D9)</f>
        <v>81</v>
      </c>
      <c r="E10" s="1"/>
      <c r="H10" s="1"/>
      <c r="O10" s="1"/>
    </row>
    <row r="11" spans="1:15">
      <c r="A11" s="62"/>
      <c r="B11" s="62"/>
      <c r="C11" s="62"/>
      <c r="D11" s="1"/>
      <c r="E11" s="1"/>
      <c r="H11" s="1"/>
      <c r="O11" s="1"/>
    </row>
    <row r="12" ht="13.95" spans="1:15">
      <c r="A12" s="69" t="s">
        <v>51</v>
      </c>
      <c r="B12" s="70" t="s">
        <v>52</v>
      </c>
      <c r="C12" s="71" t="s">
        <v>53</v>
      </c>
      <c r="D12" s="70" t="s">
        <v>41</v>
      </c>
      <c r="E12" s="72" t="s">
        <v>54</v>
      </c>
      <c r="H12" s="1"/>
      <c r="O12" s="1"/>
    </row>
    <row r="13" spans="1:15">
      <c r="A13" s="73" t="s">
        <v>55</v>
      </c>
      <c r="B13" s="74" t="s">
        <v>56</v>
      </c>
      <c r="C13" s="75">
        <v>1</v>
      </c>
      <c r="D13" s="76" t="str">
        <f t="shared" ref="D13:D38" si="0">IF(C13&lt;4,"Simples",(IF(C13&gt;5,"Complexo","Médio")))</f>
        <v>Simples</v>
      </c>
      <c r="E13" s="74"/>
      <c r="H13" s="1"/>
      <c r="O13" s="77">
        <v>1</v>
      </c>
    </row>
    <row r="14" spans="1:15">
      <c r="A14" s="73" t="s">
        <v>57</v>
      </c>
      <c r="B14" s="78" t="s">
        <v>58</v>
      </c>
      <c r="C14" s="75">
        <v>1</v>
      </c>
      <c r="D14" s="76" t="str">
        <f t="shared" si="0"/>
        <v>Simples</v>
      </c>
      <c r="E14" s="74"/>
      <c r="H14" s="1"/>
      <c r="O14" s="77">
        <v>2</v>
      </c>
    </row>
    <row r="15" spans="1:15">
      <c r="A15" s="73" t="s">
        <v>59</v>
      </c>
      <c r="B15" s="79" t="s">
        <v>60</v>
      </c>
      <c r="C15" s="75">
        <v>1</v>
      </c>
      <c r="D15" s="76" t="str">
        <f t="shared" si="0"/>
        <v>Simples</v>
      </c>
      <c r="E15" s="74"/>
      <c r="H15" s="1"/>
      <c r="O15" s="77">
        <v>3</v>
      </c>
    </row>
    <row r="16" spans="1:15">
      <c r="A16" s="73" t="s">
        <v>61</v>
      </c>
      <c r="B16" s="74" t="s">
        <v>62</v>
      </c>
      <c r="C16" s="75">
        <v>1</v>
      </c>
      <c r="D16" s="76" t="str">
        <f t="shared" si="0"/>
        <v>Simples</v>
      </c>
      <c r="E16" s="74"/>
      <c r="H16" s="1"/>
      <c r="O16" s="77">
        <v>4</v>
      </c>
    </row>
    <row r="17" spans="1:15">
      <c r="A17" s="73" t="s">
        <v>63</v>
      </c>
      <c r="B17" s="74" t="s">
        <v>64</v>
      </c>
      <c r="C17" s="75">
        <v>2</v>
      </c>
      <c r="D17" s="76" t="str">
        <f t="shared" si="0"/>
        <v>Simples</v>
      </c>
      <c r="E17" s="74"/>
      <c r="H17" s="1"/>
      <c r="O17" s="77">
        <v>5</v>
      </c>
    </row>
    <row r="18" spans="1:15">
      <c r="A18" s="73" t="s">
        <v>65</v>
      </c>
      <c r="B18" s="74" t="s">
        <v>66</v>
      </c>
      <c r="C18" s="75">
        <v>3</v>
      </c>
      <c r="D18" s="76" t="str">
        <f t="shared" si="0"/>
        <v>Simples</v>
      </c>
      <c r="E18" s="74"/>
      <c r="H18" s="52"/>
      <c r="O18" s="77">
        <v>6</v>
      </c>
    </row>
    <row r="19" spans="1:15">
      <c r="A19" s="73" t="s">
        <v>67</v>
      </c>
      <c r="B19" s="74" t="s">
        <v>68</v>
      </c>
      <c r="C19" s="75">
        <v>2</v>
      </c>
      <c r="D19" s="76" t="str">
        <f t="shared" si="0"/>
        <v>Simples</v>
      </c>
      <c r="E19" s="74"/>
      <c r="H19" s="52"/>
      <c r="O19" s="77">
        <v>7</v>
      </c>
    </row>
    <row r="20" spans="1:15">
      <c r="A20" s="80" t="s">
        <v>69</v>
      </c>
      <c r="B20" s="74" t="s">
        <v>70</v>
      </c>
      <c r="C20" s="75">
        <v>2</v>
      </c>
      <c r="D20" s="76" t="str">
        <f t="shared" si="0"/>
        <v>Simples</v>
      </c>
      <c r="E20" s="74"/>
      <c r="H20" s="52"/>
      <c r="O20" s="77">
        <v>8</v>
      </c>
    </row>
    <row r="21" spans="1:15">
      <c r="A21" s="80" t="s">
        <v>71</v>
      </c>
      <c r="B21" s="74" t="s">
        <v>72</v>
      </c>
      <c r="C21" s="75">
        <v>1</v>
      </c>
      <c r="D21" s="76" t="str">
        <f t="shared" si="0"/>
        <v>Simples</v>
      </c>
      <c r="E21" s="74"/>
      <c r="H21" s="52"/>
      <c r="O21" s="77">
        <v>9</v>
      </c>
    </row>
    <row r="22" spans="1:15">
      <c r="A22" s="80" t="s">
        <v>73</v>
      </c>
      <c r="B22" s="74" t="s">
        <v>74</v>
      </c>
      <c r="C22" s="75">
        <v>1</v>
      </c>
      <c r="D22" s="76" t="str">
        <f t="shared" si="0"/>
        <v>Simples</v>
      </c>
      <c r="E22" s="74"/>
      <c r="H22" s="52"/>
      <c r="O22" s="77">
        <v>10</v>
      </c>
    </row>
    <row r="23" spans="1:15">
      <c r="A23" s="80" t="s">
        <v>75</v>
      </c>
      <c r="B23" s="74" t="s">
        <v>76</v>
      </c>
      <c r="C23" s="75">
        <v>2</v>
      </c>
      <c r="D23" s="76" t="str">
        <f t="shared" si="0"/>
        <v>Simples</v>
      </c>
      <c r="E23" s="74"/>
      <c r="O23" s="77">
        <v>11</v>
      </c>
    </row>
    <row r="24" spans="1:15">
      <c r="A24" s="80" t="s">
        <v>77</v>
      </c>
      <c r="B24" s="74" t="s">
        <v>78</v>
      </c>
      <c r="C24" s="75">
        <v>1</v>
      </c>
      <c r="D24" s="76" t="str">
        <f t="shared" si="0"/>
        <v>Simples</v>
      </c>
      <c r="E24" s="74"/>
      <c r="O24" s="77">
        <v>12</v>
      </c>
    </row>
    <row r="25" spans="1:15">
      <c r="A25" s="80" t="s">
        <v>79</v>
      </c>
      <c r="B25" s="74" t="s">
        <v>80</v>
      </c>
      <c r="C25" s="75">
        <v>1</v>
      </c>
      <c r="D25" s="76" t="str">
        <f t="shared" si="0"/>
        <v>Simples</v>
      </c>
      <c r="E25" s="74"/>
      <c r="O25" s="77">
        <v>13</v>
      </c>
    </row>
    <row r="26" spans="1:15">
      <c r="A26" s="80" t="s">
        <v>81</v>
      </c>
      <c r="B26" s="74" t="s">
        <v>82</v>
      </c>
      <c r="C26" s="75">
        <v>2</v>
      </c>
      <c r="D26" s="76" t="str">
        <f t="shared" si="0"/>
        <v>Simples</v>
      </c>
      <c r="E26" s="74"/>
      <c r="O26" s="77">
        <v>14</v>
      </c>
    </row>
    <row r="27" spans="1:15">
      <c r="A27" s="80" t="s">
        <v>83</v>
      </c>
      <c r="B27" s="74" t="s">
        <v>84</v>
      </c>
      <c r="C27" s="75">
        <v>2</v>
      </c>
      <c r="D27" s="76" t="str">
        <f t="shared" si="0"/>
        <v>Simples</v>
      </c>
      <c r="E27" s="74"/>
      <c r="O27" s="77">
        <v>15</v>
      </c>
    </row>
    <row r="28" spans="1:15">
      <c r="A28" s="80" t="s">
        <v>85</v>
      </c>
      <c r="B28" s="74" t="s">
        <v>86</v>
      </c>
      <c r="C28" s="75">
        <v>1</v>
      </c>
      <c r="D28" s="76" t="str">
        <f t="shared" si="0"/>
        <v>Simples</v>
      </c>
      <c r="E28" s="74"/>
      <c r="O28" s="77">
        <v>16</v>
      </c>
    </row>
    <row r="29" spans="1:15">
      <c r="A29" s="80" t="s">
        <v>87</v>
      </c>
      <c r="B29" s="74" t="s">
        <v>88</v>
      </c>
      <c r="C29" s="75">
        <v>4</v>
      </c>
      <c r="D29" s="76" t="str">
        <f t="shared" si="0"/>
        <v>Médio</v>
      </c>
      <c r="E29" s="74"/>
      <c r="O29" s="77">
        <v>17</v>
      </c>
    </row>
    <row r="30" spans="1:15">
      <c r="A30" s="80" t="s">
        <v>89</v>
      </c>
      <c r="B30" s="74" t="s">
        <v>90</v>
      </c>
      <c r="C30" s="75">
        <v>4</v>
      </c>
      <c r="D30" s="76" t="str">
        <f t="shared" si="0"/>
        <v>Médio</v>
      </c>
      <c r="E30" s="74"/>
      <c r="O30" s="77">
        <v>18</v>
      </c>
    </row>
    <row r="31" spans="1:15">
      <c r="A31" s="80" t="s">
        <v>91</v>
      </c>
      <c r="B31" s="74" t="s">
        <v>92</v>
      </c>
      <c r="C31" s="75">
        <v>4</v>
      </c>
      <c r="D31" s="76" t="str">
        <f t="shared" si="0"/>
        <v>Médio</v>
      </c>
      <c r="E31" s="74"/>
      <c r="O31" s="77">
        <v>19</v>
      </c>
    </row>
    <row r="32" spans="1:15">
      <c r="A32" s="80" t="s">
        <v>93</v>
      </c>
      <c r="B32" s="74" t="s">
        <v>94</v>
      </c>
      <c r="C32" s="75">
        <v>4</v>
      </c>
      <c r="D32" s="76" t="str">
        <f t="shared" si="0"/>
        <v>Médio</v>
      </c>
      <c r="E32" s="74"/>
      <c r="O32" s="77">
        <v>21</v>
      </c>
    </row>
    <row r="33" spans="1:15">
      <c r="A33" s="80" t="s">
        <v>95</v>
      </c>
      <c r="B33" s="81" t="s">
        <v>96</v>
      </c>
      <c r="C33" s="82">
        <v>4</v>
      </c>
      <c r="D33" s="76" t="str">
        <f t="shared" si="0"/>
        <v>Médio</v>
      </c>
      <c r="E33" s="74"/>
      <c r="O33" s="77">
        <v>22</v>
      </c>
    </row>
    <row r="34" spans="1:15">
      <c r="A34" s="80" t="s">
        <v>97</v>
      </c>
      <c r="B34" s="81" t="s">
        <v>98</v>
      </c>
      <c r="C34" s="82">
        <v>3</v>
      </c>
      <c r="D34" s="76" t="str">
        <f t="shared" si="0"/>
        <v>Simples</v>
      </c>
      <c r="E34" s="74"/>
      <c r="O34" s="77">
        <v>23</v>
      </c>
    </row>
    <row r="35" spans="1:15">
      <c r="A35" s="80" t="s">
        <v>99</v>
      </c>
      <c r="B35" s="81" t="s">
        <v>100</v>
      </c>
      <c r="C35" s="82">
        <v>3</v>
      </c>
      <c r="D35" s="76" t="str">
        <f t="shared" si="0"/>
        <v>Simples</v>
      </c>
      <c r="E35" s="74"/>
      <c r="O35" s="77">
        <v>24</v>
      </c>
    </row>
    <row r="36" spans="1:15">
      <c r="A36" s="80" t="s">
        <v>101</v>
      </c>
      <c r="B36" s="81" t="s">
        <v>102</v>
      </c>
      <c r="C36" s="82">
        <v>2</v>
      </c>
      <c r="D36" s="76" t="str">
        <f t="shared" si="0"/>
        <v>Simples</v>
      </c>
      <c r="E36" s="74"/>
      <c r="O36" s="77">
        <v>25</v>
      </c>
    </row>
    <row r="37" spans="1:15">
      <c r="A37" s="80" t="s">
        <v>103</v>
      </c>
      <c r="B37" s="81" t="s">
        <v>104</v>
      </c>
      <c r="C37" s="82">
        <v>2</v>
      </c>
      <c r="D37" s="76" t="str">
        <f t="shared" si="0"/>
        <v>Simples</v>
      </c>
      <c r="E37" s="74"/>
      <c r="O37" s="77">
        <v>26</v>
      </c>
    </row>
    <row r="38" spans="1:15">
      <c r="A38" s="80" t="s">
        <v>105</v>
      </c>
      <c r="B38" s="81" t="s">
        <v>106</v>
      </c>
      <c r="C38" s="82">
        <v>2</v>
      </c>
      <c r="D38" s="76" t="str">
        <f t="shared" si="0"/>
        <v>Simples</v>
      </c>
      <c r="E38" s="74"/>
      <c r="O38" s="77">
        <v>27</v>
      </c>
    </row>
    <row r="39" spans="1:15">
      <c r="A39" s="73"/>
      <c r="B39" s="74"/>
      <c r="C39" s="75"/>
      <c r="D39" s="76"/>
      <c r="E39" s="74"/>
      <c r="O39" s="77">
        <v>28</v>
      </c>
    </row>
    <row r="40" spans="1:15">
      <c r="A40" s="83" t="s">
        <v>46</v>
      </c>
      <c r="B40" s="84">
        <f>SUBTOTAL(103,B13:B39)</f>
        <v>26</v>
      </c>
      <c r="C40" s="85"/>
      <c r="D40" s="86"/>
      <c r="E40" s="86"/>
      <c r="O40" s="77">
        <v>29</v>
      </c>
    </row>
    <row r="41" spans="1:15">
      <c r="O41" s="77">
        <v>30</v>
      </c>
    </row>
    <row r="42" spans="1:15">
      <c r="O42" s="77">
        <v>31</v>
      </c>
    </row>
    <row r="43" spans="1:15">
      <c r="O43" s="77">
        <v>32</v>
      </c>
    </row>
    <row r="44" spans="1:15">
      <c r="O44" s="77">
        <v>33</v>
      </c>
    </row>
    <row r="45" spans="1:15">
      <c r="O45" s="77">
        <v>34</v>
      </c>
    </row>
    <row r="46" spans="1:15">
      <c r="O46" s="77">
        <v>35</v>
      </c>
    </row>
    <row r="47" spans="1:15">
      <c r="O47" s="77">
        <v>36</v>
      </c>
    </row>
    <row r="48" spans="1:15">
      <c r="O48" s="77">
        <v>37</v>
      </c>
    </row>
    <row r="49" spans="15:15">
      <c r="O49" s="77">
        <v>38</v>
      </c>
    </row>
    <row r="50" spans="15:15">
      <c r="O50" s="77">
        <v>39</v>
      </c>
    </row>
    <row r="51" spans="15:15">
      <c r="O51" s="77">
        <v>40</v>
      </c>
    </row>
    <row r="52" spans="15:15">
      <c r="O52" s="77">
        <v>41</v>
      </c>
    </row>
    <row r="53" spans="15:15">
      <c r="O53" s="77">
        <v>42</v>
      </c>
    </row>
    <row r="54" spans="15:15">
      <c r="O54" s="77">
        <v>43</v>
      </c>
    </row>
    <row r="55" spans="15:15">
      <c r="O55" s="77">
        <v>44</v>
      </c>
    </row>
    <row r="56" spans="15:15">
      <c r="O56" s="77">
        <v>45</v>
      </c>
    </row>
    <row r="57" spans="15:15">
      <c r="O57" s="77">
        <v>46</v>
      </c>
    </row>
    <row r="58" spans="15:15">
      <c r="O58" s="77">
        <v>47</v>
      </c>
    </row>
    <row r="59" spans="15:15">
      <c r="O59" s="77">
        <v>48</v>
      </c>
    </row>
    <row r="60" spans="15:15">
      <c r="O60" s="77">
        <v>49</v>
      </c>
    </row>
    <row r="61" spans="15:15">
      <c r="O61" s="77">
        <v>50</v>
      </c>
    </row>
    <row r="62" spans="15:15">
      <c r="O62" s="77">
        <v>51</v>
      </c>
    </row>
    <row r="63" spans="15:15">
      <c r="O63" s="77">
        <v>52</v>
      </c>
    </row>
    <row r="64" spans="15:15">
      <c r="O64" s="77">
        <v>53</v>
      </c>
    </row>
    <row r="65" spans="15:15">
      <c r="O65" s="77">
        <v>54</v>
      </c>
    </row>
    <row r="66" spans="15:15">
      <c r="O66" s="77">
        <v>55</v>
      </c>
    </row>
    <row r="67" spans="15:15">
      <c r="O67" s="77">
        <v>56</v>
      </c>
    </row>
    <row r="68" spans="15:15">
      <c r="O68" s="77">
        <v>57</v>
      </c>
    </row>
    <row r="69" spans="15:15">
      <c r="O69" s="77">
        <v>58</v>
      </c>
    </row>
    <row r="70" spans="15:15">
      <c r="O70" s="77">
        <v>59</v>
      </c>
    </row>
    <row r="71" spans="15:15">
      <c r="O71" s="77">
        <v>60</v>
      </c>
    </row>
    <row r="72" spans="15:15">
      <c r="O72" s="77">
        <v>61</v>
      </c>
    </row>
    <row r="73" spans="15:15">
      <c r="O73" s="77">
        <v>62</v>
      </c>
    </row>
    <row r="74" spans="15:15">
      <c r="O74" s="77">
        <v>63</v>
      </c>
    </row>
    <row r="75" spans="15:15">
      <c r="O75" s="77">
        <v>64</v>
      </c>
    </row>
    <row r="76" spans="15:15">
      <c r="O76" s="77">
        <v>65</v>
      </c>
    </row>
    <row r="77" spans="15:15">
      <c r="O77" s="77">
        <v>66</v>
      </c>
    </row>
    <row r="78" spans="15:15">
      <c r="O78" s="77">
        <v>67</v>
      </c>
    </row>
    <row r="79" spans="15:15">
      <c r="O79" s="77">
        <v>68</v>
      </c>
    </row>
    <row r="80" spans="15:15">
      <c r="O80" s="77">
        <v>69</v>
      </c>
    </row>
    <row r="81" spans="15:15">
      <c r="O81" s="77">
        <v>70</v>
      </c>
    </row>
    <row r="82" spans="15:15">
      <c r="O82" s="77">
        <v>71</v>
      </c>
    </row>
    <row r="83" spans="15:15">
      <c r="O83" s="77">
        <v>72</v>
      </c>
    </row>
    <row r="84" spans="15:15">
      <c r="O84" s="77">
        <v>73</v>
      </c>
    </row>
    <row r="85" spans="15:15">
      <c r="O85" s="77">
        <v>74</v>
      </c>
    </row>
    <row r="86" spans="15:15">
      <c r="O86" s="77">
        <v>75</v>
      </c>
    </row>
    <row r="87" spans="15:15">
      <c r="O87" s="77">
        <v>76</v>
      </c>
    </row>
    <row r="88" spans="15:15">
      <c r="O88" s="77">
        <v>77</v>
      </c>
    </row>
    <row r="89" spans="15:15">
      <c r="O89" s="77">
        <v>78</v>
      </c>
    </row>
    <row r="90" spans="15:15">
      <c r="O90" s="77">
        <v>79</v>
      </c>
    </row>
    <row r="91" spans="15:15">
      <c r="O91" s="77">
        <v>80</v>
      </c>
    </row>
    <row r="92" spans="15:15">
      <c r="O92" s="77">
        <v>81</v>
      </c>
    </row>
    <row r="93" spans="15:15">
      <c r="O93" s="77">
        <v>82</v>
      </c>
    </row>
    <row r="94" spans="15:15">
      <c r="O94" s="77">
        <v>83</v>
      </c>
    </row>
    <row r="95" spans="15:15">
      <c r="O95" s="77">
        <v>84</v>
      </c>
    </row>
    <row r="96" spans="15:15">
      <c r="O96" s="77">
        <v>85</v>
      </c>
    </row>
    <row r="97" spans="15:15">
      <c r="O97" s="77">
        <v>86</v>
      </c>
    </row>
    <row r="98" spans="15:15">
      <c r="O98" s="77">
        <v>87</v>
      </c>
    </row>
    <row r="99" spans="15:15">
      <c r="O99" s="77">
        <v>88</v>
      </c>
    </row>
    <row r="100" spans="15:15">
      <c r="O100" s="77">
        <v>89</v>
      </c>
    </row>
    <row r="101" spans="15:15">
      <c r="O101" s="77">
        <v>90</v>
      </c>
    </row>
    <row r="102" spans="15:15">
      <c r="O102" s="77">
        <v>91</v>
      </c>
    </row>
    <row r="103" spans="15:15">
      <c r="O103" s="77">
        <v>92</v>
      </c>
    </row>
    <row r="104" spans="15:15">
      <c r="O104" s="77">
        <v>93</v>
      </c>
    </row>
    <row r="105" spans="15:15">
      <c r="O105" s="77">
        <v>94</v>
      </c>
    </row>
    <row r="106" spans="15:15">
      <c r="O106" s="77">
        <v>95</v>
      </c>
    </row>
    <row r="107" spans="15:15">
      <c r="O107" s="77">
        <v>96</v>
      </c>
    </row>
    <row r="108" spans="15:15">
      <c r="O108" s="77">
        <v>97</v>
      </c>
    </row>
    <row r="109" spans="15:15">
      <c r="O109" s="77">
        <v>98</v>
      </c>
    </row>
    <row r="110" spans="15:15">
      <c r="O110" s="77">
        <v>99</v>
      </c>
    </row>
    <row r="111" spans="15:15">
      <c r="O111" s="77">
        <v>100</v>
      </c>
    </row>
    <row r="112" spans="15:15">
      <c r="O112" s="77">
        <v>101</v>
      </c>
    </row>
    <row r="113" spans="15:15">
      <c r="O113" s="77">
        <v>102</v>
      </c>
    </row>
    <row r="114" spans="15:15">
      <c r="O114" s="77">
        <v>103</v>
      </c>
    </row>
    <row r="115" spans="15:15">
      <c r="O115" s="77">
        <v>104</v>
      </c>
    </row>
    <row r="116" spans="15:15">
      <c r="O116" s="77">
        <v>105</v>
      </c>
    </row>
    <row r="117" spans="15:15">
      <c r="O117" s="77">
        <v>106</v>
      </c>
    </row>
    <row r="118" spans="15:15">
      <c r="O118" s="77">
        <v>107</v>
      </c>
    </row>
    <row r="119" spans="15:15">
      <c r="O119" s="77">
        <v>108</v>
      </c>
    </row>
    <row r="120" spans="15:15">
      <c r="O120" s="77">
        <v>109</v>
      </c>
    </row>
    <row r="121" spans="15:15">
      <c r="O121" s="77">
        <v>110</v>
      </c>
    </row>
    <row r="122" spans="15:15">
      <c r="O122" s="77">
        <v>111</v>
      </c>
    </row>
    <row r="123" spans="15:15">
      <c r="O123" s="77">
        <v>112</v>
      </c>
    </row>
    <row r="124" spans="15:15">
      <c r="O124" s="77">
        <v>113</v>
      </c>
    </row>
    <row r="125" spans="15:15">
      <c r="O125" s="77">
        <v>114</v>
      </c>
    </row>
    <row r="126" spans="15:15">
      <c r="O126" s="77">
        <v>115</v>
      </c>
    </row>
    <row r="127" spans="15:15">
      <c r="O127" s="77">
        <v>116</v>
      </c>
    </row>
    <row r="128" spans="15:15">
      <c r="O128" s="77">
        <v>117</v>
      </c>
    </row>
    <row r="129" spans="15:15">
      <c r="O129" s="77">
        <v>118</v>
      </c>
    </row>
    <row r="130" spans="15:15">
      <c r="O130" s="77">
        <v>119</v>
      </c>
    </row>
    <row r="131" spans="15:15">
      <c r="O131" s="77">
        <v>120</v>
      </c>
    </row>
    <row r="132" spans="15:15">
      <c r="O132" s="77">
        <v>121</v>
      </c>
    </row>
    <row r="133" spans="15:15">
      <c r="O133" s="77">
        <v>122</v>
      </c>
    </row>
    <row r="134" spans="15:15">
      <c r="O134" s="77">
        <v>123</v>
      </c>
    </row>
    <row r="135" spans="15:15">
      <c r="O135" s="77">
        <v>124</v>
      </c>
    </row>
    <row r="136" spans="15:15">
      <c r="O136" s="77">
        <v>125</v>
      </c>
    </row>
    <row r="137" spans="15:15">
      <c r="O137" s="77">
        <v>126</v>
      </c>
    </row>
    <row r="138" spans="15:15">
      <c r="O138" s="77">
        <v>127</v>
      </c>
    </row>
    <row r="139" spans="15:15">
      <c r="O139" s="77">
        <v>128</v>
      </c>
    </row>
    <row r="140" spans="15:15">
      <c r="O140" s="77">
        <v>129</v>
      </c>
    </row>
    <row r="141" spans="15:15">
      <c r="O141" s="77">
        <v>130</v>
      </c>
    </row>
    <row r="142" spans="15:15">
      <c r="O142" s="77">
        <v>131</v>
      </c>
    </row>
    <row r="143" spans="15:15">
      <c r="O143" s="77">
        <v>132</v>
      </c>
    </row>
    <row r="144" spans="15:15">
      <c r="O144" s="77">
        <v>133</v>
      </c>
    </row>
    <row r="145" spans="15:15">
      <c r="O145" s="77">
        <v>134</v>
      </c>
    </row>
    <row r="146" spans="15:15">
      <c r="O146" s="77">
        <v>135</v>
      </c>
    </row>
    <row r="147" spans="15:15">
      <c r="O147" s="77">
        <v>136</v>
      </c>
    </row>
    <row r="148" spans="15:15">
      <c r="O148" s="77">
        <v>137</v>
      </c>
    </row>
    <row r="149" spans="15:15">
      <c r="O149" s="77">
        <v>138</v>
      </c>
    </row>
    <row r="150" spans="15:15">
      <c r="O150" s="77">
        <v>139</v>
      </c>
    </row>
    <row r="151" spans="15:15">
      <c r="O151" s="77">
        <v>140</v>
      </c>
    </row>
    <row r="152" spans="15:15">
      <c r="O152" s="77">
        <v>141</v>
      </c>
    </row>
    <row r="153" spans="15:15">
      <c r="O153" s="77">
        <v>142</v>
      </c>
    </row>
    <row r="154" spans="15:15">
      <c r="O154" s="77">
        <v>143</v>
      </c>
    </row>
    <row r="155" spans="15:15">
      <c r="O155" s="77">
        <v>144</v>
      </c>
    </row>
    <row r="156" spans="15:15">
      <c r="O156" s="77">
        <v>145</v>
      </c>
    </row>
    <row r="157" spans="15:15">
      <c r="O157" s="77">
        <v>146</v>
      </c>
    </row>
    <row r="158" spans="15:15">
      <c r="O158" s="77">
        <v>147</v>
      </c>
    </row>
    <row r="159" spans="15:15">
      <c r="O159" s="77">
        <v>148</v>
      </c>
    </row>
    <row r="160" spans="15:15">
      <c r="O160" s="77">
        <v>149</v>
      </c>
    </row>
    <row r="161" spans="15:15">
      <c r="O161" s="77">
        <v>150</v>
      </c>
    </row>
    <row r="162" spans="15:15">
      <c r="O162" s="77">
        <v>151</v>
      </c>
    </row>
    <row r="163" spans="15:15">
      <c r="O163" s="77">
        <v>152</v>
      </c>
    </row>
    <row r="164" spans="15:15">
      <c r="O164" s="77">
        <v>153</v>
      </c>
    </row>
    <row r="165" spans="15:15">
      <c r="O165" s="77">
        <v>154</v>
      </c>
    </row>
    <row r="166" spans="15:15">
      <c r="O166" s="77">
        <v>155</v>
      </c>
    </row>
    <row r="167" spans="15:15">
      <c r="O167" s="77">
        <v>156</v>
      </c>
    </row>
    <row r="168" spans="15:15">
      <c r="O168" s="77">
        <v>157</v>
      </c>
    </row>
    <row r="169" spans="15:15">
      <c r="O169" s="77">
        <v>158</v>
      </c>
    </row>
    <row r="170" spans="15:15">
      <c r="O170" s="77">
        <v>159</v>
      </c>
    </row>
    <row r="171" spans="15:15">
      <c r="O171" s="77">
        <v>160</v>
      </c>
    </row>
    <row r="172" spans="15:15">
      <c r="O172" s="77">
        <v>161</v>
      </c>
    </row>
    <row r="173" spans="15:15">
      <c r="O173" s="77">
        <v>162</v>
      </c>
    </row>
    <row r="174" spans="15:15">
      <c r="O174" s="77">
        <v>163</v>
      </c>
    </row>
    <row r="175" spans="15:15">
      <c r="O175" s="77">
        <v>164</v>
      </c>
    </row>
    <row r="176" spans="15:15">
      <c r="O176" s="77">
        <v>165</v>
      </c>
    </row>
    <row r="177" spans="15:15">
      <c r="O177" s="77">
        <v>166</v>
      </c>
    </row>
    <row r="178" spans="15:15">
      <c r="O178" s="77">
        <v>167</v>
      </c>
    </row>
    <row r="179" spans="15:15">
      <c r="O179" s="77">
        <v>168</v>
      </c>
    </row>
    <row r="180" spans="15:15">
      <c r="O180" s="77">
        <v>169</v>
      </c>
    </row>
    <row r="181" spans="15:15">
      <c r="O181" s="77">
        <v>170</v>
      </c>
    </row>
    <row r="182" spans="15:15">
      <c r="O182" s="77">
        <v>171</v>
      </c>
    </row>
    <row r="183" spans="15:15">
      <c r="O183" s="77">
        <v>172</v>
      </c>
    </row>
    <row r="184" spans="15:15">
      <c r="O184" s="77">
        <v>173</v>
      </c>
    </row>
    <row r="185" spans="15:15">
      <c r="O185" s="77">
        <v>174</v>
      </c>
    </row>
    <row r="186" spans="15:15">
      <c r="O186" s="77">
        <v>175</v>
      </c>
    </row>
    <row r="187" spans="15:15">
      <c r="O187" s="77">
        <v>176</v>
      </c>
    </row>
    <row r="188" spans="15:15">
      <c r="O188" s="77">
        <v>177</v>
      </c>
    </row>
    <row r="189" spans="15:15">
      <c r="O189" s="77">
        <v>178</v>
      </c>
    </row>
    <row r="190" spans="15:15">
      <c r="O190" s="77">
        <v>179</v>
      </c>
    </row>
    <row r="191" spans="15:15">
      <c r="O191" s="77">
        <v>180</v>
      </c>
    </row>
    <row r="192" spans="15:15">
      <c r="O192" s="77">
        <v>181</v>
      </c>
    </row>
    <row r="193" spans="15:15">
      <c r="O193" s="77">
        <v>182</v>
      </c>
    </row>
    <row r="194" spans="15:15">
      <c r="O194" s="77">
        <v>183</v>
      </c>
    </row>
    <row r="195" spans="15:15">
      <c r="O195" s="77">
        <v>184</v>
      </c>
    </row>
    <row r="196" spans="15:15">
      <c r="O196" s="77">
        <v>185</v>
      </c>
    </row>
    <row r="197" spans="15:15">
      <c r="O197" s="77">
        <v>186</v>
      </c>
    </row>
    <row r="198" spans="15:15">
      <c r="O198" s="77">
        <v>187</v>
      </c>
    </row>
    <row r="199" spans="15:15">
      <c r="O199" s="77">
        <v>188</v>
      </c>
    </row>
    <row r="200" spans="15:15">
      <c r="O200" s="77">
        <v>189</v>
      </c>
    </row>
    <row r="201" spans="15:15">
      <c r="O201" s="77">
        <v>190</v>
      </c>
    </row>
    <row r="202" spans="15:15">
      <c r="O202" s="77">
        <v>191</v>
      </c>
    </row>
    <row r="203" spans="15:15">
      <c r="O203" s="77">
        <v>192</v>
      </c>
    </row>
    <row r="204" spans="15:15">
      <c r="O204" s="77">
        <v>193</v>
      </c>
    </row>
    <row r="205" spans="15:15">
      <c r="O205" s="77">
        <v>194</v>
      </c>
    </row>
    <row r="206" spans="15:15">
      <c r="O206" s="77">
        <v>195</v>
      </c>
    </row>
    <row r="207" spans="15:15">
      <c r="O207" s="77">
        <v>196</v>
      </c>
    </row>
    <row r="208" spans="15:15">
      <c r="O208" s="77">
        <v>197</v>
      </c>
    </row>
    <row r="209" spans="15:15">
      <c r="O209" s="77">
        <v>198</v>
      </c>
    </row>
    <row r="210" spans="15:15">
      <c r="O210" s="77">
        <v>199</v>
      </c>
    </row>
    <row r="211" spans="15:15">
      <c r="O211" s="77">
        <v>200</v>
      </c>
    </row>
    <row r="212" spans="15:15">
      <c r="O212" s="77">
        <v>201</v>
      </c>
    </row>
    <row r="213" spans="15:15">
      <c r="O213" s="77">
        <v>202</v>
      </c>
    </row>
    <row r="214" spans="15:15">
      <c r="O214" s="77">
        <v>203</v>
      </c>
    </row>
    <row r="215" spans="15:15">
      <c r="O215" s="77">
        <v>204</v>
      </c>
    </row>
    <row r="216" spans="15:15">
      <c r="O216" s="77">
        <v>205</v>
      </c>
    </row>
    <row r="217" spans="15:15">
      <c r="O217" s="77">
        <v>206</v>
      </c>
    </row>
    <row r="218" spans="15:15">
      <c r="O218" s="77">
        <v>207</v>
      </c>
    </row>
    <row r="219" spans="15:15">
      <c r="O219" s="77">
        <v>208</v>
      </c>
    </row>
    <row r="220" spans="15:15">
      <c r="O220" s="77">
        <v>209</v>
      </c>
    </row>
    <row r="221" spans="15:15">
      <c r="O221" s="77">
        <v>210</v>
      </c>
    </row>
    <row r="222" spans="15:15">
      <c r="O222" s="77">
        <v>211</v>
      </c>
    </row>
    <row r="223" spans="15:15">
      <c r="O223" s="77">
        <v>212</v>
      </c>
    </row>
    <row r="224" spans="15:15">
      <c r="O224" s="77">
        <v>213</v>
      </c>
    </row>
    <row r="225" spans="15:15">
      <c r="O225" s="77">
        <v>214</v>
      </c>
    </row>
    <row r="226" spans="15:15">
      <c r="O226" s="77">
        <v>215</v>
      </c>
    </row>
    <row r="227" spans="15:15">
      <c r="O227" s="77">
        <v>216</v>
      </c>
    </row>
    <row r="228" spans="15:15">
      <c r="O228" s="77">
        <v>217</v>
      </c>
    </row>
    <row r="229" spans="15:15">
      <c r="O229" s="77">
        <v>218</v>
      </c>
    </row>
    <row r="230" spans="15:15">
      <c r="O230" s="77">
        <v>219</v>
      </c>
    </row>
    <row r="231" spans="15:15">
      <c r="O231" s="77">
        <v>220</v>
      </c>
    </row>
    <row r="232" spans="15:15">
      <c r="O232" s="77">
        <v>221</v>
      </c>
    </row>
    <row r="233" spans="15:15">
      <c r="O233" s="77">
        <v>222</v>
      </c>
    </row>
    <row r="234" spans="15:15">
      <c r="O234" s="77">
        <v>223</v>
      </c>
    </row>
    <row r="235" spans="15:15">
      <c r="O235" s="77">
        <v>224</v>
      </c>
    </row>
    <row r="236" spans="15:15">
      <c r="O236" s="77">
        <v>225</v>
      </c>
    </row>
    <row r="237" spans="15:15">
      <c r="O237" s="77">
        <v>226</v>
      </c>
    </row>
    <row r="238" spans="15:15">
      <c r="O238" s="77">
        <v>227</v>
      </c>
    </row>
    <row r="239" spans="15:15">
      <c r="O239" s="77">
        <v>228</v>
      </c>
    </row>
    <row r="240" spans="15:15">
      <c r="O240" s="77">
        <v>229</v>
      </c>
    </row>
    <row r="241" spans="15:15">
      <c r="O241" s="77">
        <v>230</v>
      </c>
    </row>
    <row r="242" spans="15:15">
      <c r="O242" s="77">
        <v>231</v>
      </c>
    </row>
    <row r="243" spans="15:15">
      <c r="O243" s="77">
        <v>232</v>
      </c>
    </row>
    <row r="244" spans="15:15">
      <c r="O244" s="77">
        <v>233</v>
      </c>
    </row>
    <row r="245" spans="15:15">
      <c r="O245" s="77">
        <v>234</v>
      </c>
    </row>
    <row r="246" spans="15:15">
      <c r="O246" s="77">
        <v>235</v>
      </c>
    </row>
    <row r="247" spans="15:15">
      <c r="O247" s="77">
        <v>236</v>
      </c>
    </row>
    <row r="248" spans="15:15">
      <c r="O248" s="77">
        <v>237</v>
      </c>
    </row>
    <row r="249" spans="15:15">
      <c r="O249" s="77">
        <v>238</v>
      </c>
    </row>
    <row r="250" spans="15:15">
      <c r="O250" s="77">
        <v>239</v>
      </c>
    </row>
    <row r="251" spans="15:15">
      <c r="O251" s="77">
        <v>240</v>
      </c>
    </row>
    <row r="252" spans="15:15">
      <c r="O252" s="77">
        <v>241</v>
      </c>
    </row>
    <row r="253" spans="15:15">
      <c r="O253" s="77">
        <v>242</v>
      </c>
    </row>
    <row r="254" spans="15:15">
      <c r="O254" s="77">
        <v>243</v>
      </c>
    </row>
    <row r="255" spans="15:15">
      <c r="O255" s="77">
        <v>244</v>
      </c>
    </row>
    <row r="256" spans="15:15">
      <c r="O256" s="77">
        <v>245</v>
      </c>
    </row>
    <row r="257" spans="15:15">
      <c r="O257" s="77">
        <v>246</v>
      </c>
    </row>
    <row r="258" spans="15:15">
      <c r="O258" s="77">
        <v>247</v>
      </c>
    </row>
    <row r="259" spans="15:15">
      <c r="O259" s="77">
        <v>248</v>
      </c>
    </row>
    <row r="260" spans="15:15">
      <c r="O260" s="77">
        <v>249</v>
      </c>
    </row>
    <row r="261" spans="15:15">
      <c r="O261" s="77">
        <v>250</v>
      </c>
    </row>
    <row r="262" spans="15:15">
      <c r="O262" s="77">
        <v>251</v>
      </c>
    </row>
    <row r="263" spans="15:15">
      <c r="O263" s="77">
        <v>252</v>
      </c>
    </row>
    <row r="264" spans="15:15">
      <c r="O264" s="77">
        <v>253</v>
      </c>
    </row>
    <row r="265" spans="15:15">
      <c r="O265" s="77">
        <v>254</v>
      </c>
    </row>
    <row r="266" spans="15:15">
      <c r="O266" s="77">
        <v>255</v>
      </c>
    </row>
    <row r="267" spans="15:15">
      <c r="O267" s="77">
        <v>256</v>
      </c>
    </row>
    <row r="268" spans="15:15">
      <c r="O268" s="77">
        <v>257</v>
      </c>
    </row>
    <row r="269" spans="15:15">
      <c r="O269" s="77">
        <v>258</v>
      </c>
    </row>
    <row r="270" spans="15:15">
      <c r="O270" s="77">
        <v>259</v>
      </c>
    </row>
    <row r="271" spans="15:15">
      <c r="O271" s="77">
        <v>260</v>
      </c>
    </row>
    <row r="272" spans="15:15">
      <c r="O272" s="77">
        <v>261</v>
      </c>
    </row>
    <row r="273" spans="15:15">
      <c r="O273" s="77">
        <v>262</v>
      </c>
    </row>
    <row r="274" spans="15:15">
      <c r="O274" s="77">
        <v>263</v>
      </c>
    </row>
    <row r="275" spans="15:15">
      <c r="O275" s="77">
        <v>264</v>
      </c>
    </row>
    <row r="276" spans="15:15">
      <c r="O276" s="77">
        <v>265</v>
      </c>
    </row>
    <row r="277" spans="15:15">
      <c r="O277" s="77">
        <v>266</v>
      </c>
    </row>
    <row r="278" spans="15:15">
      <c r="O278" s="77">
        <v>267</v>
      </c>
    </row>
    <row r="279" spans="15:15">
      <c r="O279" s="77">
        <v>268</v>
      </c>
    </row>
    <row r="280" spans="15:15">
      <c r="O280" s="77">
        <v>269</v>
      </c>
    </row>
    <row r="281" spans="15:15">
      <c r="O281" s="77">
        <v>270</v>
      </c>
    </row>
    <row r="282" spans="15:15">
      <c r="O282" s="77">
        <v>271</v>
      </c>
    </row>
    <row r="283" spans="15:15">
      <c r="O283" s="77">
        <v>272</v>
      </c>
    </row>
    <row r="284" spans="15:15">
      <c r="O284" s="77">
        <v>273</v>
      </c>
    </row>
    <row r="285" spans="15:15">
      <c r="O285" s="77">
        <v>274</v>
      </c>
    </row>
    <row r="286" spans="15:15">
      <c r="O286" s="77">
        <v>275</v>
      </c>
    </row>
    <row r="287" spans="15:15">
      <c r="O287" s="77">
        <v>276</v>
      </c>
    </row>
    <row r="288" spans="15:15">
      <c r="O288" s="77">
        <v>277</v>
      </c>
    </row>
    <row r="289" spans="15:15">
      <c r="O289" s="77">
        <v>278</v>
      </c>
    </row>
    <row r="290" spans="15:15">
      <c r="O290" s="77">
        <v>279</v>
      </c>
    </row>
    <row r="291" spans="15:15">
      <c r="O291" s="77">
        <v>280</v>
      </c>
    </row>
    <row r="292" spans="15:15">
      <c r="O292" s="77">
        <v>281</v>
      </c>
    </row>
    <row r="293" spans="15:15">
      <c r="O293" s="77">
        <v>282</v>
      </c>
    </row>
    <row r="294" spans="15:15">
      <c r="O294" s="77">
        <v>283</v>
      </c>
    </row>
    <row r="295" spans="15:15">
      <c r="O295" s="77">
        <v>284</v>
      </c>
    </row>
    <row r="296" spans="15:15">
      <c r="O296" s="77">
        <v>285</v>
      </c>
    </row>
    <row r="297" spans="15:15">
      <c r="O297" s="77">
        <v>286</v>
      </c>
    </row>
    <row r="298" spans="15:15">
      <c r="O298" s="77">
        <v>287</v>
      </c>
    </row>
    <row r="299" spans="15:15">
      <c r="O299" s="77">
        <v>288</v>
      </c>
    </row>
    <row r="300" spans="15:15">
      <c r="O300" s="77">
        <v>289</v>
      </c>
    </row>
    <row r="301" spans="15:15">
      <c r="O301" s="77">
        <v>290</v>
      </c>
    </row>
    <row r="302" spans="15:15">
      <c r="O302" s="77">
        <v>291</v>
      </c>
    </row>
    <row r="303" spans="15:15">
      <c r="O303" s="77">
        <v>292</v>
      </c>
    </row>
    <row r="304" spans="15:15">
      <c r="O304" s="77">
        <v>293</v>
      </c>
    </row>
    <row r="305" spans="15:15">
      <c r="O305" s="77">
        <v>294</v>
      </c>
    </row>
    <row r="306" spans="15:15">
      <c r="O306" s="77">
        <v>295</v>
      </c>
    </row>
    <row r="307" spans="15:15">
      <c r="O307" s="77">
        <v>296</v>
      </c>
    </row>
    <row r="308" spans="15:15">
      <c r="O308" s="77">
        <v>297</v>
      </c>
    </row>
    <row r="309" spans="15:15">
      <c r="O309" s="77">
        <v>298</v>
      </c>
    </row>
    <row r="310" spans="15:15">
      <c r="O310" s="77">
        <v>299</v>
      </c>
    </row>
    <row r="311" spans="15:15">
      <c r="O311" s="77">
        <v>300</v>
      </c>
    </row>
    <row r="312" spans="15:15">
      <c r="O312" s="77">
        <v>301</v>
      </c>
    </row>
    <row r="313" spans="15:15">
      <c r="O313" s="77">
        <v>302</v>
      </c>
    </row>
    <row r="314" spans="15:15">
      <c r="O314" s="77">
        <v>303</v>
      </c>
    </row>
    <row r="315" spans="15:15">
      <c r="O315" s="77">
        <v>304</v>
      </c>
    </row>
    <row r="316" spans="15:15">
      <c r="O316" s="77">
        <v>305</v>
      </c>
    </row>
    <row r="317" spans="15:15">
      <c r="O317" s="77">
        <v>306</v>
      </c>
    </row>
    <row r="318" spans="15:15">
      <c r="O318" s="77">
        <v>307</v>
      </c>
    </row>
    <row r="319" spans="15:15">
      <c r="O319" s="77">
        <v>308</v>
      </c>
    </row>
    <row r="320" spans="15:15">
      <c r="O320" s="77">
        <v>309</v>
      </c>
    </row>
    <row r="321" spans="15:15">
      <c r="O321" s="77">
        <v>310</v>
      </c>
    </row>
    <row r="322" spans="15:15">
      <c r="O322" s="77">
        <v>311</v>
      </c>
    </row>
    <row r="323" spans="15:15">
      <c r="O323" s="77">
        <v>312</v>
      </c>
    </row>
    <row r="324" spans="15:15">
      <c r="O324" s="77">
        <v>313</v>
      </c>
    </row>
    <row r="325" spans="15:15">
      <c r="O325" s="77">
        <v>314</v>
      </c>
    </row>
    <row r="326" spans="15:15">
      <c r="O326" s="77">
        <v>315</v>
      </c>
    </row>
    <row r="327" spans="15:15">
      <c r="O327" s="77">
        <v>316</v>
      </c>
    </row>
    <row r="328" spans="15:15">
      <c r="O328" s="77">
        <v>317</v>
      </c>
    </row>
    <row r="329" spans="15:15">
      <c r="O329" s="77">
        <v>318</v>
      </c>
    </row>
    <row r="330" spans="15:15">
      <c r="O330" s="77">
        <v>319</v>
      </c>
    </row>
    <row r="331" spans="15:15">
      <c r="O331" s="77">
        <v>320</v>
      </c>
    </row>
    <row r="332" spans="15:15">
      <c r="O332" s="77">
        <v>321</v>
      </c>
    </row>
    <row r="333" spans="15:15">
      <c r="O333" s="77">
        <v>322</v>
      </c>
    </row>
    <row r="334" spans="15:15">
      <c r="O334" s="77">
        <v>323</v>
      </c>
    </row>
    <row r="335" spans="15:15">
      <c r="O335" s="77">
        <v>324</v>
      </c>
    </row>
    <row r="336" spans="15:15">
      <c r="O336" s="77">
        <v>325</v>
      </c>
    </row>
    <row r="337" spans="15:15">
      <c r="O337" s="77">
        <v>326</v>
      </c>
    </row>
    <row r="338" spans="15:15">
      <c r="O338" s="77">
        <v>327</v>
      </c>
    </row>
    <row r="339" spans="15:15">
      <c r="O339" s="77">
        <v>328</v>
      </c>
    </row>
    <row r="340" spans="15:15">
      <c r="O340" s="77">
        <v>329</v>
      </c>
    </row>
    <row r="341" spans="15:15">
      <c r="O341" s="77">
        <v>330</v>
      </c>
    </row>
    <row r="342" spans="15:15">
      <c r="O342" s="77">
        <v>331</v>
      </c>
    </row>
    <row r="343" spans="15:15">
      <c r="O343" s="77">
        <v>332</v>
      </c>
    </row>
    <row r="344" spans="15:15">
      <c r="O344" s="77">
        <v>333</v>
      </c>
    </row>
    <row r="345" spans="15:15">
      <c r="O345" s="77">
        <v>334</v>
      </c>
    </row>
    <row r="346" spans="15:15">
      <c r="O346" s="77">
        <v>335</v>
      </c>
    </row>
    <row r="347" spans="15:15">
      <c r="O347" s="77">
        <v>336</v>
      </c>
    </row>
    <row r="348" spans="15:15">
      <c r="O348" s="77">
        <v>337</v>
      </c>
    </row>
    <row r="349" spans="15:15">
      <c r="O349" s="77">
        <v>338</v>
      </c>
    </row>
    <row r="350" spans="15:15">
      <c r="O350" s="77">
        <v>339</v>
      </c>
    </row>
    <row r="351" spans="15:15">
      <c r="O351" s="77">
        <v>340</v>
      </c>
    </row>
    <row r="352" spans="15:15">
      <c r="O352" s="77">
        <v>341</v>
      </c>
    </row>
    <row r="353" spans="15:15">
      <c r="O353" s="77">
        <v>342</v>
      </c>
    </row>
    <row r="354" spans="15:15">
      <c r="O354" s="77">
        <v>343</v>
      </c>
    </row>
    <row r="355" spans="15:15">
      <c r="O355" s="77">
        <v>344</v>
      </c>
    </row>
    <row r="356" spans="15:15">
      <c r="O356" s="77">
        <v>345</v>
      </c>
    </row>
    <row r="357" spans="15:15">
      <c r="O357" s="77">
        <v>346</v>
      </c>
    </row>
    <row r="358" spans="15:15">
      <c r="O358" s="77">
        <v>347</v>
      </c>
    </row>
    <row r="359" spans="15:15">
      <c r="O359" s="77">
        <v>348</v>
      </c>
    </row>
    <row r="360" spans="15:15">
      <c r="O360" s="77">
        <v>349</v>
      </c>
    </row>
    <row r="361" spans="15:15">
      <c r="O361" s="77">
        <v>350</v>
      </c>
    </row>
    <row r="362" spans="15:15">
      <c r="O362" s="77">
        <v>351</v>
      </c>
    </row>
    <row r="363" spans="15:15">
      <c r="O363" s="77">
        <v>352</v>
      </c>
    </row>
    <row r="364" spans="15:15">
      <c r="O364" s="77">
        <v>353</v>
      </c>
    </row>
    <row r="365" spans="15:15">
      <c r="O365" s="77">
        <v>354</v>
      </c>
    </row>
    <row r="366" spans="15:15">
      <c r="O366" s="77">
        <v>355</v>
      </c>
    </row>
    <row r="367" spans="15:15">
      <c r="O367" s="77">
        <v>356</v>
      </c>
    </row>
    <row r="368" spans="15:15">
      <c r="O368" s="77">
        <v>357</v>
      </c>
    </row>
    <row r="369" spans="15:15">
      <c r="O369" s="77">
        <v>358</v>
      </c>
    </row>
    <row r="370" spans="15:15">
      <c r="O370" s="77">
        <v>359</v>
      </c>
    </row>
    <row r="371" spans="15:15">
      <c r="O371" s="77">
        <v>360</v>
      </c>
    </row>
    <row r="372" spans="15:15">
      <c r="O372" s="77">
        <v>361</v>
      </c>
    </row>
    <row r="373" spans="15:15">
      <c r="O373" s="77">
        <v>362</v>
      </c>
    </row>
    <row r="374" spans="15:15">
      <c r="O374" s="77">
        <v>363</v>
      </c>
    </row>
    <row r="375" spans="15:15">
      <c r="O375" s="77">
        <v>364</v>
      </c>
    </row>
    <row r="376" spans="15:15">
      <c r="O376" s="77">
        <v>365</v>
      </c>
    </row>
    <row r="377" spans="15:15">
      <c r="O377" s="77">
        <v>366</v>
      </c>
    </row>
    <row r="378" spans="15:15">
      <c r="O378" s="77">
        <v>367</v>
      </c>
    </row>
    <row r="379" spans="15:15">
      <c r="O379" s="77">
        <v>368</v>
      </c>
    </row>
    <row r="380" spans="15:15">
      <c r="O380" s="77">
        <v>369</v>
      </c>
    </row>
    <row r="381" spans="15:15">
      <c r="O381" s="77">
        <v>370</v>
      </c>
    </row>
    <row r="382" spans="15:15">
      <c r="O382" s="77">
        <v>371</v>
      </c>
    </row>
    <row r="383" spans="15:15">
      <c r="O383" s="77">
        <v>372</v>
      </c>
    </row>
    <row r="384" spans="15:15">
      <c r="O384" s="77">
        <v>373</v>
      </c>
    </row>
    <row r="385" spans="15:15">
      <c r="O385" s="77">
        <v>374</v>
      </c>
    </row>
    <row r="386" spans="15:15">
      <c r="O386" s="77">
        <v>375</v>
      </c>
    </row>
    <row r="387" spans="15:15">
      <c r="O387" s="77">
        <v>376</v>
      </c>
    </row>
    <row r="388" spans="15:15">
      <c r="O388" s="77">
        <v>377</v>
      </c>
    </row>
    <row r="389" spans="15:15">
      <c r="O389" s="77">
        <v>378</v>
      </c>
    </row>
    <row r="390" spans="15:15">
      <c r="O390" s="77">
        <v>379</v>
      </c>
    </row>
    <row r="391" spans="15:15">
      <c r="O391" s="77">
        <v>380</v>
      </c>
    </row>
    <row r="392" spans="15:15">
      <c r="O392" s="77">
        <v>381</v>
      </c>
    </row>
    <row r="393" spans="15:15">
      <c r="O393" s="77">
        <v>382</v>
      </c>
    </row>
    <row r="394" spans="15:15">
      <c r="O394" s="77">
        <v>383</v>
      </c>
    </row>
    <row r="395" spans="15:15">
      <c r="O395" s="77">
        <v>384</v>
      </c>
    </row>
    <row r="396" spans="15:15">
      <c r="O396" s="77">
        <v>385</v>
      </c>
    </row>
    <row r="397" spans="15:15">
      <c r="O397" s="77">
        <v>386</v>
      </c>
    </row>
    <row r="398" spans="15:15">
      <c r="O398" s="77">
        <v>387</v>
      </c>
    </row>
    <row r="399" spans="15:15">
      <c r="O399" s="77">
        <v>388</v>
      </c>
    </row>
    <row r="400" spans="15:15">
      <c r="O400" s="77">
        <v>389</v>
      </c>
    </row>
    <row r="401" spans="15:15">
      <c r="O401" s="77">
        <v>390</v>
      </c>
    </row>
    <row r="402" spans="15:15">
      <c r="O402" s="77">
        <v>391</v>
      </c>
    </row>
    <row r="403" spans="15:15">
      <c r="O403" s="77">
        <v>392</v>
      </c>
    </row>
    <row r="404" spans="15:15">
      <c r="O404" s="77">
        <v>393</v>
      </c>
    </row>
    <row r="405" spans="15:15">
      <c r="O405" s="77">
        <v>394</v>
      </c>
    </row>
    <row r="406" spans="15:15">
      <c r="O406" s="77">
        <v>395</v>
      </c>
    </row>
    <row r="407" spans="15:15">
      <c r="O407" s="77">
        <v>396</v>
      </c>
    </row>
    <row r="408" spans="15:15">
      <c r="O408" s="77">
        <v>397</v>
      </c>
    </row>
    <row r="409" spans="15:15">
      <c r="O409" s="77">
        <v>398</v>
      </c>
    </row>
    <row r="410" spans="15:15">
      <c r="O410" s="77">
        <v>399</v>
      </c>
    </row>
    <row r="411" spans="15:15">
      <c r="O411" s="77">
        <v>400</v>
      </c>
    </row>
    <row r="412" spans="15:15">
      <c r="O412" s="77">
        <v>401</v>
      </c>
    </row>
    <row r="413" spans="15:15">
      <c r="O413" s="77">
        <v>402</v>
      </c>
    </row>
    <row r="414" spans="15:15">
      <c r="O414" s="77">
        <v>403</v>
      </c>
    </row>
    <row r="415" spans="15:15">
      <c r="O415" s="77">
        <v>404</v>
      </c>
    </row>
    <row r="416" spans="15:15">
      <c r="O416" s="77">
        <v>405</v>
      </c>
    </row>
    <row r="417" spans="15:15">
      <c r="O417" s="77">
        <v>406</v>
      </c>
    </row>
    <row r="418" spans="15:15">
      <c r="O418" s="77">
        <v>407</v>
      </c>
    </row>
    <row r="419" spans="15:15">
      <c r="O419" s="77">
        <v>408</v>
      </c>
    </row>
    <row r="420" spans="15:15">
      <c r="O420" s="77">
        <v>409</v>
      </c>
    </row>
    <row r="421" spans="15:15">
      <c r="O421" s="77">
        <v>410</v>
      </c>
    </row>
    <row r="422" spans="15:15">
      <c r="O422" s="77">
        <v>411</v>
      </c>
    </row>
    <row r="423" spans="15:15">
      <c r="O423" s="77">
        <v>412</v>
      </c>
    </row>
    <row r="424" spans="15:15">
      <c r="O424" s="77">
        <v>413</v>
      </c>
    </row>
    <row r="425" spans="15:15">
      <c r="O425" s="77">
        <v>414</v>
      </c>
    </row>
    <row r="426" spans="15:15">
      <c r="O426" s="77">
        <v>415</v>
      </c>
    </row>
    <row r="427" spans="15:15">
      <c r="O427" s="77">
        <v>416</v>
      </c>
    </row>
    <row r="428" spans="15:15">
      <c r="O428" s="77">
        <v>417</v>
      </c>
    </row>
    <row r="429" spans="15:15">
      <c r="O429" s="77">
        <v>418</v>
      </c>
    </row>
    <row r="430" spans="15:15">
      <c r="O430" s="77">
        <v>419</v>
      </c>
    </row>
    <row r="431" spans="15:15">
      <c r="O431" s="77">
        <v>420</v>
      </c>
    </row>
    <row r="432" spans="15:15">
      <c r="O432" s="77">
        <v>421</v>
      </c>
    </row>
    <row r="433" spans="15:15">
      <c r="O433" s="77">
        <v>422</v>
      </c>
    </row>
    <row r="434" spans="15:15">
      <c r="O434" s="77">
        <v>423</v>
      </c>
    </row>
    <row r="435" spans="15:15">
      <c r="O435" s="77">
        <v>424</v>
      </c>
    </row>
    <row r="436" spans="15:15">
      <c r="O436" s="77">
        <v>425</v>
      </c>
    </row>
    <row r="437" spans="15:15">
      <c r="O437" s="77">
        <v>426</v>
      </c>
    </row>
    <row r="438" spans="15:15">
      <c r="O438" s="77">
        <v>427</v>
      </c>
    </row>
    <row r="439" spans="15:15">
      <c r="O439" s="77">
        <v>428</v>
      </c>
    </row>
    <row r="440" spans="15:15">
      <c r="O440" s="77">
        <v>429</v>
      </c>
    </row>
    <row r="441" spans="15:15">
      <c r="O441" s="77">
        <v>430</v>
      </c>
    </row>
    <row r="442" spans="15:15">
      <c r="O442" s="77">
        <v>431</v>
      </c>
    </row>
    <row r="443" spans="15:15">
      <c r="O443" s="77">
        <v>432</v>
      </c>
    </row>
    <row r="444" spans="15:15">
      <c r="O444" s="77">
        <v>433</v>
      </c>
    </row>
    <row r="445" spans="15:15">
      <c r="O445" s="77">
        <v>434</v>
      </c>
    </row>
    <row r="446" spans="15:15">
      <c r="O446" s="77">
        <v>435</v>
      </c>
    </row>
    <row r="447" spans="15:15">
      <c r="O447" s="77">
        <v>436</v>
      </c>
    </row>
    <row r="448" spans="15:15">
      <c r="O448" s="77">
        <v>437</v>
      </c>
    </row>
    <row r="449" spans="15:15">
      <c r="O449" s="77">
        <v>438</v>
      </c>
    </row>
    <row r="450" spans="15:15">
      <c r="O450" s="77">
        <v>439</v>
      </c>
    </row>
    <row r="451" spans="15:15">
      <c r="O451" s="77">
        <v>440</v>
      </c>
    </row>
    <row r="452" spans="15:15">
      <c r="O452" s="77">
        <v>441</v>
      </c>
    </row>
    <row r="453" spans="15:15">
      <c r="O453" s="77">
        <v>442</v>
      </c>
    </row>
    <row r="454" spans="15:15">
      <c r="O454" s="77">
        <v>443</v>
      </c>
    </row>
    <row r="455" spans="15:15">
      <c r="O455" s="77">
        <v>444</v>
      </c>
    </row>
    <row r="456" spans="15:15">
      <c r="O456" s="77">
        <v>445</v>
      </c>
    </row>
    <row r="457" spans="15:15">
      <c r="O457" s="77">
        <v>446</v>
      </c>
    </row>
    <row r="458" spans="15:15">
      <c r="O458" s="77">
        <v>447</v>
      </c>
    </row>
    <row r="459" spans="15:15">
      <c r="O459" s="77">
        <v>448</v>
      </c>
    </row>
    <row r="460" spans="15:15">
      <c r="O460" s="77">
        <v>449</v>
      </c>
    </row>
    <row r="461" spans="15:15">
      <c r="O461" s="77">
        <v>450</v>
      </c>
    </row>
    <row r="462" spans="15:15">
      <c r="O462" s="77">
        <v>451</v>
      </c>
    </row>
    <row r="463" spans="15:15">
      <c r="O463" s="77">
        <v>452</v>
      </c>
    </row>
    <row r="464" spans="15:15">
      <c r="O464" s="77">
        <v>453</v>
      </c>
    </row>
    <row r="465" spans="15:15">
      <c r="O465" s="77">
        <v>454</v>
      </c>
    </row>
    <row r="466" spans="15:15">
      <c r="O466" s="77">
        <v>455</v>
      </c>
    </row>
    <row r="467" spans="15:15">
      <c r="O467" s="77">
        <v>456</v>
      </c>
    </row>
    <row r="468" spans="15:15">
      <c r="O468" s="77">
        <v>457</v>
      </c>
    </row>
    <row r="469" spans="15:15">
      <c r="O469" s="77">
        <v>458</v>
      </c>
    </row>
    <row r="470" spans="15:15">
      <c r="O470" s="77">
        <v>459</v>
      </c>
    </row>
    <row r="471" spans="15:15">
      <c r="O471" s="77">
        <v>460</v>
      </c>
    </row>
    <row r="472" spans="15:15">
      <c r="O472" s="77">
        <v>461</v>
      </c>
    </row>
    <row r="473" spans="15:15">
      <c r="O473" s="77">
        <v>462</v>
      </c>
    </row>
    <row r="474" spans="15:15">
      <c r="O474" s="77">
        <v>463</v>
      </c>
    </row>
    <row r="475" spans="15:15">
      <c r="O475" s="77">
        <v>464</v>
      </c>
    </row>
    <row r="476" spans="15:15">
      <c r="O476" s="77">
        <v>465</v>
      </c>
    </row>
    <row r="477" spans="15:15">
      <c r="O477" s="77">
        <v>466</v>
      </c>
    </row>
    <row r="478" spans="15:15">
      <c r="O478" s="77">
        <v>467</v>
      </c>
    </row>
    <row r="479" spans="15:15">
      <c r="O479" s="77">
        <v>468</v>
      </c>
    </row>
    <row r="480" spans="15:15">
      <c r="O480" s="77">
        <v>469</v>
      </c>
    </row>
    <row r="481" spans="15:15">
      <c r="O481" s="77">
        <v>470</v>
      </c>
    </row>
    <row r="482" spans="15:15">
      <c r="O482" s="77">
        <v>471</v>
      </c>
    </row>
    <row r="483" spans="15:15">
      <c r="O483" s="77">
        <v>472</v>
      </c>
    </row>
    <row r="484" spans="15:15">
      <c r="O484" s="77">
        <v>473</v>
      </c>
    </row>
    <row r="485" spans="15:15">
      <c r="O485" s="77">
        <v>474</v>
      </c>
    </row>
    <row r="486" spans="15:15">
      <c r="O486" s="77">
        <v>475</v>
      </c>
    </row>
    <row r="487" spans="15:15">
      <c r="O487" s="77">
        <v>476</v>
      </c>
    </row>
    <row r="488" spans="15:15">
      <c r="O488" s="77">
        <v>477</v>
      </c>
    </row>
    <row r="489" spans="15:15">
      <c r="O489" s="77">
        <v>478</v>
      </c>
    </row>
    <row r="490" spans="15:15">
      <c r="O490" s="77">
        <v>479</v>
      </c>
    </row>
    <row r="491" spans="15:15">
      <c r="O491" s="77">
        <v>480</v>
      </c>
    </row>
    <row r="492" spans="15:15">
      <c r="O492" s="77">
        <v>481</v>
      </c>
    </row>
    <row r="493" spans="15:15">
      <c r="O493" s="77">
        <v>482</v>
      </c>
    </row>
    <row r="494" spans="15:15">
      <c r="O494" s="77">
        <v>483</v>
      </c>
    </row>
    <row r="495" spans="15:15">
      <c r="O495" s="77">
        <v>484</v>
      </c>
    </row>
    <row r="496" spans="15:15">
      <c r="O496" s="77">
        <v>485</v>
      </c>
    </row>
    <row r="497" spans="15:15">
      <c r="O497" s="77">
        <v>486</v>
      </c>
    </row>
    <row r="498" spans="15:15">
      <c r="O498" s="77">
        <v>487</v>
      </c>
    </row>
    <row r="499" spans="15:15">
      <c r="O499" s="77">
        <v>488</v>
      </c>
    </row>
    <row r="500" spans="15:15">
      <c r="O500" s="77">
        <v>489</v>
      </c>
    </row>
    <row r="501" spans="15:15">
      <c r="O501" s="77">
        <v>490</v>
      </c>
    </row>
    <row r="502" spans="15:15">
      <c r="O502" s="77">
        <v>491</v>
      </c>
    </row>
    <row r="503" spans="15:15">
      <c r="O503" s="77">
        <v>492</v>
      </c>
    </row>
    <row r="504" spans="15:15">
      <c r="O504" s="77">
        <v>493</v>
      </c>
    </row>
    <row r="505" spans="15:15">
      <c r="O505" s="77">
        <v>494</v>
      </c>
    </row>
    <row r="506" spans="15:15">
      <c r="O506" s="77">
        <v>495</v>
      </c>
    </row>
    <row r="507" spans="15:15">
      <c r="O507" s="77">
        <v>496</v>
      </c>
    </row>
    <row r="508" spans="15:15">
      <c r="O508" s="77">
        <v>497</v>
      </c>
    </row>
    <row r="509" spans="15:15">
      <c r="O509" s="77">
        <v>498</v>
      </c>
    </row>
    <row r="510" spans="15:15">
      <c r="O510" s="77">
        <v>499</v>
      </c>
    </row>
    <row r="511" spans="15:15">
      <c r="O511" s="77">
        <v>500</v>
      </c>
    </row>
    <row r="512" spans="15:15">
      <c r="O512" s="77">
        <v>501</v>
      </c>
    </row>
    <row r="513" spans="15:15">
      <c r="O513" s="77">
        <v>502</v>
      </c>
    </row>
    <row r="514" spans="15:15">
      <c r="O514" s="77">
        <v>503</v>
      </c>
    </row>
    <row r="515" spans="15:15">
      <c r="O515" s="77">
        <v>504</v>
      </c>
    </row>
    <row r="516" spans="15:15">
      <c r="O516" s="77">
        <v>505</v>
      </c>
    </row>
    <row r="517" spans="15:15">
      <c r="O517" s="77">
        <v>506</v>
      </c>
    </row>
    <row r="518" spans="15:15">
      <c r="O518" s="77">
        <v>507</v>
      </c>
    </row>
    <row r="519" spans="15:15">
      <c r="O519" s="77">
        <v>508</v>
      </c>
    </row>
    <row r="520" spans="15:15">
      <c r="O520" s="77">
        <v>509</v>
      </c>
    </row>
    <row r="521" spans="15:15">
      <c r="O521" s="77">
        <v>510</v>
      </c>
    </row>
    <row r="522" spans="15:15">
      <c r="O522" s="77">
        <v>511</v>
      </c>
    </row>
    <row r="523" spans="15:15">
      <c r="O523" s="77">
        <v>512</v>
      </c>
    </row>
    <row r="524" spans="15:15">
      <c r="O524" s="77">
        <v>513</v>
      </c>
    </row>
    <row r="525" spans="15:15">
      <c r="O525" s="77">
        <v>514</v>
      </c>
    </row>
    <row r="526" spans="15:15">
      <c r="O526" s="77">
        <v>515</v>
      </c>
    </row>
    <row r="527" spans="15:15">
      <c r="O527" s="77">
        <v>516</v>
      </c>
    </row>
    <row r="528" spans="15:15">
      <c r="O528" s="77">
        <v>517</v>
      </c>
    </row>
    <row r="529" spans="15:15">
      <c r="O529" s="77">
        <v>518</v>
      </c>
    </row>
    <row r="530" spans="15:15">
      <c r="O530" s="77">
        <v>519</v>
      </c>
    </row>
    <row r="531" spans="15:15">
      <c r="O531" s="77">
        <v>520</v>
      </c>
    </row>
    <row r="532" spans="15:15">
      <c r="O532" s="77">
        <v>521</v>
      </c>
    </row>
    <row r="533" spans="15:15">
      <c r="O533" s="77">
        <v>522</v>
      </c>
    </row>
    <row r="534" spans="15:15">
      <c r="O534" s="77">
        <v>523</v>
      </c>
    </row>
    <row r="535" spans="15:15">
      <c r="O535" s="77">
        <v>524</v>
      </c>
    </row>
    <row r="536" spans="15:15">
      <c r="O536" s="77">
        <v>525</v>
      </c>
    </row>
    <row r="537" spans="15:15">
      <c r="O537" s="77">
        <v>526</v>
      </c>
    </row>
    <row r="538" spans="15:15">
      <c r="O538" s="77">
        <v>527</v>
      </c>
    </row>
    <row r="539" spans="15:15">
      <c r="O539" s="77">
        <v>528</v>
      </c>
    </row>
    <row r="540" spans="15:15">
      <c r="O540" s="77">
        <v>529</v>
      </c>
    </row>
    <row r="541" spans="15:15">
      <c r="O541" s="77">
        <v>530</v>
      </c>
    </row>
    <row r="542" spans="15:15">
      <c r="O542" s="77">
        <v>531</v>
      </c>
    </row>
    <row r="543" spans="15:15">
      <c r="O543" s="77">
        <v>532</v>
      </c>
    </row>
    <row r="544" spans="15:15">
      <c r="O544" s="77">
        <v>533</v>
      </c>
    </row>
    <row r="545" spans="15:15">
      <c r="O545" s="77">
        <v>534</v>
      </c>
    </row>
    <row r="546" spans="15:15">
      <c r="O546" s="77">
        <v>535</v>
      </c>
    </row>
    <row r="547" spans="15:15">
      <c r="O547" s="77">
        <v>536</v>
      </c>
    </row>
    <row r="548" spans="15:15">
      <c r="O548" s="77">
        <v>537</v>
      </c>
    </row>
    <row r="549" spans="15:15">
      <c r="O549" s="77">
        <v>538</v>
      </c>
    </row>
    <row r="550" spans="15:15">
      <c r="O550" s="77">
        <v>539</v>
      </c>
    </row>
    <row r="551" spans="15:15">
      <c r="O551" s="77">
        <v>540</v>
      </c>
    </row>
    <row r="552" spans="15:15">
      <c r="O552" s="77">
        <v>541</v>
      </c>
    </row>
    <row r="553" spans="15:15">
      <c r="O553" s="77">
        <v>542</v>
      </c>
    </row>
    <row r="554" spans="15:15">
      <c r="O554" s="77">
        <v>543</v>
      </c>
    </row>
    <row r="555" spans="15:15">
      <c r="O555" s="77">
        <v>544</v>
      </c>
    </row>
    <row r="556" spans="15:15">
      <c r="O556" s="77">
        <v>545</v>
      </c>
    </row>
    <row r="557" spans="15:15">
      <c r="O557" s="77">
        <v>546</v>
      </c>
    </row>
    <row r="558" spans="15:15">
      <c r="O558" s="77">
        <v>547</v>
      </c>
    </row>
    <row r="559" spans="15:15">
      <c r="O559" s="77">
        <v>548</v>
      </c>
    </row>
    <row r="560" spans="15:15">
      <c r="O560" s="77">
        <v>549</v>
      </c>
    </row>
    <row r="561" spans="15:15">
      <c r="O561" s="77">
        <v>550</v>
      </c>
    </row>
    <row r="562" spans="15:15">
      <c r="O562" s="77">
        <v>551</v>
      </c>
    </row>
    <row r="563" spans="15:15">
      <c r="O563" s="77">
        <v>552</v>
      </c>
    </row>
    <row r="564" spans="15:15">
      <c r="O564" s="77">
        <v>553</v>
      </c>
    </row>
    <row r="565" spans="15:15">
      <c r="O565" s="77">
        <v>554</v>
      </c>
    </row>
    <row r="566" spans="15:15">
      <c r="O566" s="77">
        <v>555</v>
      </c>
    </row>
    <row r="567" spans="15:15">
      <c r="O567" s="77">
        <v>556</v>
      </c>
    </row>
    <row r="568" spans="15:15">
      <c r="O568" s="77">
        <v>557</v>
      </c>
    </row>
    <row r="569" spans="15:15">
      <c r="O569" s="77">
        <v>558</v>
      </c>
    </row>
    <row r="570" spans="15:15">
      <c r="O570" s="77">
        <v>559</v>
      </c>
    </row>
    <row r="571" spans="15:15">
      <c r="O571" s="77">
        <v>560</v>
      </c>
    </row>
    <row r="572" spans="15:15">
      <c r="O572" s="77">
        <v>561</v>
      </c>
    </row>
    <row r="573" spans="15:15">
      <c r="O573" s="77">
        <v>562</v>
      </c>
    </row>
    <row r="574" spans="15:15">
      <c r="O574" s="77">
        <v>563</v>
      </c>
    </row>
    <row r="575" spans="15:15">
      <c r="O575" s="77">
        <v>564</v>
      </c>
    </row>
    <row r="576" spans="15:15">
      <c r="O576" s="77">
        <v>565</v>
      </c>
    </row>
    <row r="577" spans="15:15">
      <c r="O577" s="77">
        <v>566</v>
      </c>
    </row>
    <row r="578" spans="15:15">
      <c r="O578" s="77">
        <v>567</v>
      </c>
    </row>
    <row r="579" spans="15:15">
      <c r="O579" s="77">
        <v>568</v>
      </c>
    </row>
    <row r="580" spans="15:15">
      <c r="O580" s="77">
        <v>569</v>
      </c>
    </row>
    <row r="581" spans="15:15">
      <c r="O581" s="77">
        <v>570</v>
      </c>
    </row>
    <row r="582" spans="15:15">
      <c r="O582" s="77">
        <v>571</v>
      </c>
    </row>
    <row r="583" spans="15:15">
      <c r="O583" s="77">
        <v>572</v>
      </c>
    </row>
    <row r="584" spans="15:15">
      <c r="O584" s="77">
        <v>573</v>
      </c>
    </row>
    <row r="585" spans="15:15">
      <c r="O585" s="77">
        <v>574</v>
      </c>
    </row>
    <row r="586" spans="15:15">
      <c r="O586" s="77">
        <v>575</v>
      </c>
    </row>
    <row r="587" spans="15:15">
      <c r="O587" s="77">
        <v>576</v>
      </c>
    </row>
    <row r="588" spans="15:15">
      <c r="O588" s="77">
        <v>577</v>
      </c>
    </row>
    <row r="589" spans="15:15">
      <c r="O589" s="77">
        <v>578</v>
      </c>
    </row>
    <row r="590" spans="15:15">
      <c r="O590" s="77">
        <v>579</v>
      </c>
    </row>
    <row r="591" spans="15:15">
      <c r="O591" s="77">
        <v>580</v>
      </c>
    </row>
    <row r="592" spans="15:15">
      <c r="O592" s="77">
        <v>581</v>
      </c>
    </row>
    <row r="593" spans="15:15">
      <c r="O593" s="77">
        <v>582</v>
      </c>
    </row>
    <row r="594" spans="15:15">
      <c r="O594" s="77">
        <v>583</v>
      </c>
    </row>
    <row r="595" spans="15:15">
      <c r="O595" s="77">
        <v>584</v>
      </c>
    </row>
    <row r="596" spans="15:15">
      <c r="O596" s="77">
        <v>585</v>
      </c>
    </row>
    <row r="597" spans="15:15">
      <c r="O597" s="77">
        <v>586</v>
      </c>
    </row>
    <row r="598" spans="15:15">
      <c r="O598" s="77">
        <v>587</v>
      </c>
    </row>
    <row r="599" spans="15:15">
      <c r="O599" s="77">
        <v>588</v>
      </c>
    </row>
    <row r="600" spans="15:15">
      <c r="O600" s="77">
        <v>589</v>
      </c>
    </row>
    <row r="601" spans="15:15">
      <c r="O601" s="77">
        <v>590</v>
      </c>
    </row>
    <row r="602" spans="15:15">
      <c r="O602" s="77">
        <v>591</v>
      </c>
    </row>
    <row r="603" spans="15:15">
      <c r="O603" s="77">
        <v>592</v>
      </c>
    </row>
    <row r="604" spans="15:15">
      <c r="O604" s="77">
        <v>593</v>
      </c>
    </row>
    <row r="605" spans="15:15">
      <c r="O605" s="77">
        <v>594</v>
      </c>
    </row>
    <row r="606" spans="15:15">
      <c r="O606" s="77">
        <v>595</v>
      </c>
    </row>
    <row r="607" spans="15:15">
      <c r="O607" s="77">
        <v>596</v>
      </c>
    </row>
    <row r="608" spans="15:15">
      <c r="O608" s="77">
        <v>597</v>
      </c>
    </row>
    <row r="609" spans="15:15">
      <c r="O609" s="77">
        <v>598</v>
      </c>
    </row>
    <row r="610" spans="15:15">
      <c r="O610" s="77">
        <v>599</v>
      </c>
    </row>
    <row r="611" spans="15:15">
      <c r="O611" s="77">
        <v>600</v>
      </c>
    </row>
    <row r="612" spans="15:15">
      <c r="O612" s="77">
        <v>601</v>
      </c>
    </row>
    <row r="613" spans="15:15">
      <c r="O613" s="77">
        <v>602</v>
      </c>
    </row>
    <row r="614" spans="15:15">
      <c r="O614" s="77">
        <v>603</v>
      </c>
    </row>
    <row r="615" spans="15:15">
      <c r="O615" s="77">
        <v>604</v>
      </c>
    </row>
    <row r="616" spans="15:15">
      <c r="O616" s="77">
        <v>605</v>
      </c>
    </row>
    <row r="617" spans="15:15">
      <c r="O617" s="77">
        <v>606</v>
      </c>
    </row>
    <row r="618" spans="15:15">
      <c r="O618" s="77">
        <v>607</v>
      </c>
    </row>
    <row r="619" spans="15:15">
      <c r="O619" s="77">
        <v>608</v>
      </c>
    </row>
    <row r="620" spans="15:15">
      <c r="O620" s="77">
        <v>609</v>
      </c>
    </row>
    <row r="621" spans="15:15">
      <c r="O621" s="77">
        <v>610</v>
      </c>
    </row>
    <row r="622" spans="15:15">
      <c r="O622" s="77">
        <v>611</v>
      </c>
    </row>
    <row r="623" spans="15:15">
      <c r="O623" s="77">
        <v>612</v>
      </c>
    </row>
    <row r="624" spans="15:15">
      <c r="O624" s="77">
        <v>613</v>
      </c>
    </row>
    <row r="625" spans="15:15">
      <c r="O625" s="77">
        <v>614</v>
      </c>
    </row>
    <row r="626" spans="15:15">
      <c r="O626" s="77">
        <v>615</v>
      </c>
    </row>
    <row r="627" spans="15:15">
      <c r="O627" s="77">
        <v>616</v>
      </c>
    </row>
    <row r="628" spans="15:15">
      <c r="O628" s="77">
        <v>617</v>
      </c>
    </row>
    <row r="629" spans="15:15">
      <c r="O629" s="77">
        <v>618</v>
      </c>
    </row>
    <row r="630" spans="15:15">
      <c r="O630" s="77">
        <v>619</v>
      </c>
    </row>
    <row r="631" spans="15:15">
      <c r="O631" s="77">
        <v>620</v>
      </c>
    </row>
    <row r="632" spans="15:15">
      <c r="O632" s="77">
        <v>621</v>
      </c>
    </row>
    <row r="633" spans="15:15">
      <c r="O633" s="77">
        <v>622</v>
      </c>
    </row>
    <row r="634" spans="15:15">
      <c r="O634" s="77">
        <v>623</v>
      </c>
    </row>
    <row r="635" spans="15:15">
      <c r="O635" s="77">
        <v>624</v>
      </c>
    </row>
    <row r="636" spans="15:15">
      <c r="O636" s="77">
        <v>625</v>
      </c>
    </row>
    <row r="637" spans="15:15">
      <c r="O637" s="77">
        <v>626</v>
      </c>
    </row>
    <row r="638" spans="15:15">
      <c r="O638" s="77">
        <v>627</v>
      </c>
    </row>
    <row r="639" spans="15:15">
      <c r="O639" s="77">
        <v>628</v>
      </c>
    </row>
    <row r="640" spans="15:15">
      <c r="O640" s="77">
        <v>629</v>
      </c>
    </row>
    <row r="641" spans="15:15">
      <c r="O641" s="77">
        <v>630</v>
      </c>
    </row>
    <row r="642" spans="15:15">
      <c r="O642" s="77">
        <v>631</v>
      </c>
    </row>
    <row r="643" spans="15:15">
      <c r="O643" s="77">
        <v>632</v>
      </c>
    </row>
    <row r="644" spans="15:15">
      <c r="O644" s="77">
        <v>633</v>
      </c>
    </row>
    <row r="645" spans="15:15">
      <c r="O645" s="77">
        <v>634</v>
      </c>
    </row>
    <row r="646" spans="15:15">
      <c r="O646" s="77">
        <v>635</v>
      </c>
    </row>
    <row r="647" spans="15:15">
      <c r="O647" s="77">
        <v>636</v>
      </c>
    </row>
    <row r="648" spans="15:15">
      <c r="O648" s="77">
        <v>637</v>
      </c>
    </row>
    <row r="649" spans="15:15">
      <c r="O649" s="77">
        <v>638</v>
      </c>
    </row>
    <row r="650" spans="15:15">
      <c r="O650" s="77">
        <v>639</v>
      </c>
    </row>
    <row r="651" spans="15:15">
      <c r="O651" s="77">
        <v>640</v>
      </c>
    </row>
    <row r="652" spans="15:15">
      <c r="O652" s="77">
        <v>641</v>
      </c>
    </row>
    <row r="653" spans="15:15">
      <c r="O653" s="77">
        <v>642</v>
      </c>
    </row>
    <row r="654" spans="15:15">
      <c r="O654" s="77">
        <v>643</v>
      </c>
    </row>
    <row r="655" spans="15:15">
      <c r="O655" s="77">
        <v>644</v>
      </c>
    </row>
    <row r="656" spans="15:15">
      <c r="O656" s="77">
        <v>645</v>
      </c>
    </row>
    <row r="657" spans="15:15">
      <c r="O657" s="77">
        <v>646</v>
      </c>
    </row>
    <row r="658" spans="15:15">
      <c r="O658" s="77">
        <v>647</v>
      </c>
    </row>
    <row r="659" spans="15:15">
      <c r="O659" s="77">
        <v>648</v>
      </c>
    </row>
    <row r="660" spans="15:15">
      <c r="O660" s="77">
        <v>649</v>
      </c>
    </row>
    <row r="661" spans="15:15">
      <c r="O661" s="77">
        <v>650</v>
      </c>
    </row>
    <row r="662" spans="15:15">
      <c r="O662" s="77">
        <v>651</v>
      </c>
    </row>
    <row r="663" spans="15:15">
      <c r="O663" s="77">
        <v>652</v>
      </c>
    </row>
    <row r="664" spans="15:15">
      <c r="O664" s="77">
        <v>653</v>
      </c>
    </row>
    <row r="665" spans="15:15">
      <c r="O665" s="77">
        <v>654</v>
      </c>
    </row>
    <row r="666" spans="15:15">
      <c r="O666" s="77">
        <v>655</v>
      </c>
    </row>
    <row r="667" spans="15:15">
      <c r="O667" s="77">
        <v>656</v>
      </c>
    </row>
    <row r="668" spans="15:15">
      <c r="O668" s="77">
        <v>657</v>
      </c>
    </row>
    <row r="669" spans="15:15">
      <c r="O669" s="77">
        <v>658</v>
      </c>
    </row>
    <row r="670" spans="15:15">
      <c r="O670" s="77">
        <v>659</v>
      </c>
    </row>
    <row r="671" spans="15:15">
      <c r="O671" s="77">
        <v>660</v>
      </c>
    </row>
    <row r="672" spans="15:15">
      <c r="O672" s="77">
        <v>661</v>
      </c>
    </row>
    <row r="673" spans="15:15">
      <c r="O673" s="77">
        <v>662</v>
      </c>
    </row>
    <row r="674" spans="15:15">
      <c r="O674" s="77">
        <v>663</v>
      </c>
    </row>
    <row r="675" spans="15:15">
      <c r="O675" s="77">
        <v>664</v>
      </c>
    </row>
    <row r="676" spans="15:15">
      <c r="O676" s="77">
        <v>665</v>
      </c>
    </row>
    <row r="677" spans="15:15">
      <c r="O677" s="77">
        <v>666</v>
      </c>
    </row>
    <row r="678" spans="15:15">
      <c r="O678" s="77">
        <v>667</v>
      </c>
    </row>
    <row r="679" spans="15:15">
      <c r="O679" s="77">
        <v>668</v>
      </c>
    </row>
    <row r="680" spans="15:15">
      <c r="O680" s="77">
        <v>669</v>
      </c>
    </row>
    <row r="681" spans="15:15">
      <c r="O681" s="77">
        <v>670</v>
      </c>
    </row>
    <row r="682" spans="15:15">
      <c r="O682" s="77">
        <v>671</v>
      </c>
    </row>
    <row r="683" spans="15:15">
      <c r="O683" s="77">
        <v>672</v>
      </c>
    </row>
    <row r="684" spans="15:15">
      <c r="O684" s="77">
        <v>673</v>
      </c>
    </row>
    <row r="685" spans="15:15">
      <c r="O685" s="77">
        <v>674</v>
      </c>
    </row>
    <row r="686" spans="15:15">
      <c r="O686" s="77">
        <v>675</v>
      </c>
    </row>
    <row r="687" spans="15:15">
      <c r="O687" s="77">
        <v>676</v>
      </c>
    </row>
    <row r="688" spans="15:15">
      <c r="O688" s="77">
        <v>677</v>
      </c>
    </row>
    <row r="689" spans="15:15">
      <c r="O689" s="77">
        <v>678</v>
      </c>
    </row>
    <row r="690" spans="15:15">
      <c r="O690" s="77">
        <v>679</v>
      </c>
    </row>
    <row r="691" spans="15:15">
      <c r="O691" s="77">
        <v>680</v>
      </c>
    </row>
    <row r="692" spans="15:15">
      <c r="O692" s="77">
        <v>681</v>
      </c>
    </row>
    <row r="693" spans="15:15">
      <c r="O693" s="77">
        <v>682</v>
      </c>
    </row>
    <row r="694" spans="15:15">
      <c r="O694" s="77">
        <v>683</v>
      </c>
    </row>
    <row r="695" spans="15:15">
      <c r="O695" s="77">
        <v>684</v>
      </c>
    </row>
    <row r="696" spans="15:15">
      <c r="O696" s="77">
        <v>685</v>
      </c>
    </row>
    <row r="697" spans="15:15">
      <c r="O697" s="77">
        <v>686</v>
      </c>
    </row>
    <row r="698" spans="15:15">
      <c r="O698" s="77">
        <v>687</v>
      </c>
    </row>
    <row r="699" spans="15:15">
      <c r="O699" s="77">
        <v>688</v>
      </c>
    </row>
    <row r="700" spans="15:15">
      <c r="O700" s="77">
        <v>689</v>
      </c>
    </row>
    <row r="701" spans="15:15">
      <c r="O701" s="77">
        <v>690</v>
      </c>
    </row>
    <row r="702" spans="15:15">
      <c r="O702" s="77">
        <v>691</v>
      </c>
    </row>
    <row r="703" spans="15:15">
      <c r="O703" s="77">
        <v>692</v>
      </c>
    </row>
    <row r="704" spans="15:15">
      <c r="O704" s="77">
        <v>693</v>
      </c>
    </row>
    <row r="705" spans="15:15">
      <c r="O705" s="77">
        <v>694</v>
      </c>
    </row>
    <row r="706" spans="15:15">
      <c r="O706" s="77">
        <v>695</v>
      </c>
    </row>
    <row r="707" spans="15:15">
      <c r="O707" s="77">
        <v>696</v>
      </c>
    </row>
    <row r="708" spans="15:15">
      <c r="O708" s="77">
        <v>697</v>
      </c>
    </row>
    <row r="709" spans="15:15">
      <c r="O709" s="77">
        <v>698</v>
      </c>
    </row>
    <row r="710" spans="15:15">
      <c r="O710" s="77">
        <v>699</v>
      </c>
    </row>
    <row r="711" spans="15:15">
      <c r="O711" s="77">
        <v>700</v>
      </c>
    </row>
    <row r="712" spans="15:15">
      <c r="O712" s="77">
        <v>701</v>
      </c>
    </row>
    <row r="713" spans="15:15">
      <c r="O713" s="77">
        <v>702</v>
      </c>
    </row>
    <row r="714" spans="15:15">
      <c r="O714" s="77">
        <v>703</v>
      </c>
    </row>
    <row r="715" spans="15:15">
      <c r="O715" s="77">
        <v>704</v>
      </c>
    </row>
    <row r="716" spans="15:15">
      <c r="O716" s="77">
        <v>705</v>
      </c>
    </row>
    <row r="717" spans="15:15">
      <c r="O717" s="77">
        <v>706</v>
      </c>
    </row>
    <row r="718" spans="15:15">
      <c r="O718" s="77">
        <v>707</v>
      </c>
    </row>
    <row r="719" spans="15:15">
      <c r="O719" s="77">
        <v>708</v>
      </c>
    </row>
    <row r="720" spans="15:15">
      <c r="O720" s="77">
        <v>709</v>
      </c>
    </row>
    <row r="721" spans="15:15">
      <c r="O721" s="77">
        <v>710</v>
      </c>
    </row>
    <row r="722" spans="15:15">
      <c r="O722" s="77">
        <v>711</v>
      </c>
    </row>
    <row r="723" spans="15:15">
      <c r="O723" s="77">
        <v>712</v>
      </c>
    </row>
    <row r="724" spans="15:15">
      <c r="O724" s="77">
        <v>713</v>
      </c>
    </row>
    <row r="725" spans="15:15">
      <c r="O725" s="77">
        <v>714</v>
      </c>
    </row>
    <row r="726" spans="15:15">
      <c r="O726" s="77">
        <v>715</v>
      </c>
    </row>
    <row r="727" spans="15:15">
      <c r="O727" s="77">
        <v>716</v>
      </c>
    </row>
    <row r="728" spans="15:15">
      <c r="O728" s="77">
        <v>717</v>
      </c>
    </row>
    <row r="729" spans="15:15">
      <c r="O729" s="77">
        <v>718</v>
      </c>
    </row>
    <row r="730" spans="15:15">
      <c r="O730" s="77">
        <v>719</v>
      </c>
    </row>
    <row r="731" spans="15:15">
      <c r="O731" s="77">
        <v>720</v>
      </c>
    </row>
    <row r="732" spans="15:15">
      <c r="O732" s="77">
        <v>721</v>
      </c>
    </row>
    <row r="733" spans="15:15">
      <c r="O733" s="77">
        <v>722</v>
      </c>
    </row>
    <row r="734" spans="15:15">
      <c r="O734" s="77">
        <v>723</v>
      </c>
    </row>
    <row r="735" spans="15:15">
      <c r="O735" s="77">
        <v>724</v>
      </c>
    </row>
    <row r="736" spans="15:15">
      <c r="O736" s="77">
        <v>725</v>
      </c>
    </row>
    <row r="737" spans="15:15">
      <c r="O737" s="77">
        <v>726</v>
      </c>
    </row>
    <row r="738" spans="15:15">
      <c r="O738" s="77">
        <v>727</v>
      </c>
    </row>
    <row r="739" spans="15:15">
      <c r="O739" s="77">
        <v>728</v>
      </c>
    </row>
    <row r="740" spans="15:15">
      <c r="O740" s="77">
        <v>729</v>
      </c>
    </row>
    <row r="741" spans="15:15">
      <c r="O741" s="77">
        <v>730</v>
      </c>
    </row>
    <row r="742" spans="15:15">
      <c r="O742" s="77">
        <v>731</v>
      </c>
    </row>
    <row r="743" spans="15:15">
      <c r="O743" s="77">
        <v>732</v>
      </c>
    </row>
    <row r="744" spans="15:15">
      <c r="O744" s="77">
        <v>733</v>
      </c>
    </row>
    <row r="745" spans="15:15">
      <c r="O745" s="77">
        <v>734</v>
      </c>
    </row>
    <row r="746" spans="15:15">
      <c r="O746" s="77">
        <v>735</v>
      </c>
    </row>
    <row r="747" spans="15:15">
      <c r="O747" s="77">
        <v>736</v>
      </c>
    </row>
    <row r="748" spans="15:15">
      <c r="O748" s="77">
        <v>737</v>
      </c>
    </row>
    <row r="749" spans="15:15">
      <c r="O749" s="77">
        <v>738</v>
      </c>
    </row>
    <row r="750" spans="15:15">
      <c r="O750" s="77">
        <v>739</v>
      </c>
    </row>
    <row r="751" spans="15:15">
      <c r="O751" s="77">
        <v>740</v>
      </c>
    </row>
    <row r="752" spans="15:15">
      <c r="O752" s="77">
        <v>741</v>
      </c>
    </row>
    <row r="753" spans="15:15">
      <c r="O753" s="77">
        <v>742</v>
      </c>
    </row>
    <row r="754" spans="15:15">
      <c r="O754" s="77">
        <v>743</v>
      </c>
    </row>
    <row r="755" spans="15:15">
      <c r="O755" s="77">
        <v>744</v>
      </c>
    </row>
    <row r="756" spans="15:15">
      <c r="O756" s="77">
        <v>745</v>
      </c>
    </row>
    <row r="757" spans="15:15">
      <c r="O757" s="77">
        <v>746</v>
      </c>
    </row>
    <row r="758" spans="15:15">
      <c r="O758" s="77">
        <v>747</v>
      </c>
    </row>
    <row r="759" spans="15:15">
      <c r="O759" s="77">
        <v>748</v>
      </c>
    </row>
    <row r="760" spans="15:15">
      <c r="O760" s="77">
        <v>749</v>
      </c>
    </row>
    <row r="761" spans="15:15">
      <c r="O761" s="77">
        <v>750</v>
      </c>
    </row>
    <row r="762" spans="15:15">
      <c r="O762" s="77">
        <v>751</v>
      </c>
    </row>
    <row r="763" spans="15:15">
      <c r="O763" s="77">
        <v>752</v>
      </c>
    </row>
    <row r="764" spans="15:15">
      <c r="O764" s="77">
        <v>753</v>
      </c>
    </row>
    <row r="765" spans="15:15">
      <c r="O765" s="77">
        <v>754</v>
      </c>
    </row>
    <row r="766" spans="15:15">
      <c r="O766" s="77">
        <v>755</v>
      </c>
    </row>
    <row r="767" spans="15:15">
      <c r="O767" s="77">
        <v>756</v>
      </c>
    </row>
    <row r="768" spans="15:15">
      <c r="O768" s="77">
        <v>757</v>
      </c>
    </row>
    <row r="769" spans="15:15">
      <c r="O769" s="77">
        <v>758</v>
      </c>
    </row>
    <row r="770" spans="15:15">
      <c r="O770" s="77">
        <v>759</v>
      </c>
    </row>
    <row r="771" spans="15:15">
      <c r="O771" s="77">
        <v>760</v>
      </c>
    </row>
    <row r="772" spans="15:15">
      <c r="O772" s="77">
        <v>761</v>
      </c>
    </row>
    <row r="773" spans="15:15">
      <c r="O773" s="77">
        <v>762</v>
      </c>
    </row>
    <row r="774" spans="15:15">
      <c r="O774" s="77">
        <v>763</v>
      </c>
    </row>
    <row r="775" spans="15:15">
      <c r="O775" s="77">
        <v>764</v>
      </c>
    </row>
    <row r="776" spans="15:15">
      <c r="O776" s="77">
        <v>765</v>
      </c>
    </row>
    <row r="777" spans="15:15">
      <c r="O777" s="77">
        <v>766</v>
      </c>
    </row>
    <row r="778" spans="15:15">
      <c r="O778" s="77">
        <v>767</v>
      </c>
    </row>
    <row r="779" spans="15:15">
      <c r="O779" s="77">
        <v>768</v>
      </c>
    </row>
    <row r="780" spans="15:15">
      <c r="O780" s="77">
        <v>769</v>
      </c>
    </row>
    <row r="781" spans="15:15">
      <c r="O781" s="77">
        <v>770</v>
      </c>
    </row>
    <row r="782" spans="15:15">
      <c r="O782" s="77">
        <v>771</v>
      </c>
    </row>
    <row r="783" spans="15:15">
      <c r="O783" s="77">
        <v>772</v>
      </c>
    </row>
    <row r="784" spans="15:15">
      <c r="O784" s="77">
        <v>773</v>
      </c>
    </row>
    <row r="785" spans="15:15">
      <c r="O785" s="77">
        <v>774</v>
      </c>
    </row>
    <row r="786" spans="15:15">
      <c r="O786" s="77">
        <v>775</v>
      </c>
    </row>
    <row r="787" spans="15:15">
      <c r="O787" s="77">
        <v>776</v>
      </c>
    </row>
    <row r="788" spans="15:15">
      <c r="O788" s="77">
        <v>777</v>
      </c>
    </row>
    <row r="789" spans="15:15">
      <c r="O789" s="77">
        <v>778</v>
      </c>
    </row>
    <row r="790" spans="15:15">
      <c r="O790" s="77">
        <v>779</v>
      </c>
    </row>
    <row r="791" spans="15:15">
      <c r="O791" s="77">
        <v>780</v>
      </c>
    </row>
    <row r="792" spans="15:15">
      <c r="O792" s="77">
        <v>781</v>
      </c>
    </row>
    <row r="793" spans="15:15">
      <c r="O793" s="77">
        <v>782</v>
      </c>
    </row>
    <row r="794" spans="15:15">
      <c r="O794" s="77">
        <v>783</v>
      </c>
    </row>
    <row r="795" spans="15:15">
      <c r="O795" s="77">
        <v>784</v>
      </c>
    </row>
    <row r="796" spans="15:15">
      <c r="O796" s="77">
        <v>785</v>
      </c>
    </row>
    <row r="797" spans="15:15">
      <c r="O797" s="77">
        <v>786</v>
      </c>
    </row>
    <row r="798" spans="15:15">
      <c r="O798" s="77">
        <v>787</v>
      </c>
    </row>
    <row r="799" spans="15:15">
      <c r="O799" s="77">
        <v>788</v>
      </c>
    </row>
    <row r="800" spans="15:15">
      <c r="O800" s="77">
        <v>789</v>
      </c>
    </row>
    <row r="801" spans="15:15">
      <c r="O801" s="77">
        <v>790</v>
      </c>
    </row>
    <row r="802" spans="15:15">
      <c r="O802" s="77">
        <v>791</v>
      </c>
    </row>
    <row r="803" spans="15:15">
      <c r="O803" s="77">
        <v>792</v>
      </c>
    </row>
    <row r="804" spans="15:15">
      <c r="O804" s="77">
        <v>793</v>
      </c>
    </row>
    <row r="805" spans="15:15">
      <c r="O805" s="77">
        <v>794</v>
      </c>
    </row>
    <row r="806" spans="15:15">
      <c r="O806" s="77">
        <v>795</v>
      </c>
    </row>
    <row r="807" spans="15:15">
      <c r="O807" s="77">
        <v>796</v>
      </c>
    </row>
    <row r="808" spans="15:15">
      <c r="O808" s="77">
        <v>797</v>
      </c>
    </row>
    <row r="809" spans="15:15">
      <c r="O809" s="77">
        <v>798</v>
      </c>
    </row>
    <row r="810" spans="15:15">
      <c r="O810" s="77">
        <v>799</v>
      </c>
    </row>
    <row r="811" spans="15:15">
      <c r="O811" s="77">
        <v>800</v>
      </c>
    </row>
    <row r="812" spans="15:15">
      <c r="O812" s="77">
        <v>801</v>
      </c>
    </row>
    <row r="813" spans="15:15">
      <c r="O813" s="77">
        <v>802</v>
      </c>
    </row>
    <row r="814" spans="15:15">
      <c r="O814" s="77">
        <v>803</v>
      </c>
    </row>
    <row r="815" spans="15:15">
      <c r="O815" s="77">
        <v>804</v>
      </c>
    </row>
    <row r="816" spans="15:15">
      <c r="O816" s="77">
        <v>805</v>
      </c>
    </row>
    <row r="817" spans="15:15">
      <c r="O817" s="77">
        <v>806</v>
      </c>
    </row>
    <row r="818" spans="15:15">
      <c r="O818" s="77">
        <v>807</v>
      </c>
    </row>
    <row r="819" spans="15:15">
      <c r="O819" s="77">
        <v>808</v>
      </c>
    </row>
    <row r="820" spans="15:15">
      <c r="O820" s="77">
        <v>809</v>
      </c>
    </row>
    <row r="821" spans="15:15">
      <c r="O821" s="77">
        <v>810</v>
      </c>
    </row>
    <row r="822" spans="15:15">
      <c r="O822" s="77">
        <v>811</v>
      </c>
    </row>
    <row r="823" spans="15:15">
      <c r="O823" s="77">
        <v>812</v>
      </c>
    </row>
    <row r="824" spans="15:15">
      <c r="O824" s="77">
        <v>813</v>
      </c>
    </row>
    <row r="825" spans="15:15">
      <c r="O825" s="77">
        <v>814</v>
      </c>
    </row>
    <row r="826" spans="15:15">
      <c r="O826" s="77">
        <v>815</v>
      </c>
    </row>
    <row r="827" spans="15:15">
      <c r="O827" s="77">
        <v>816</v>
      </c>
    </row>
    <row r="828" spans="15:15">
      <c r="O828" s="77">
        <v>817</v>
      </c>
    </row>
    <row r="829" spans="15:15">
      <c r="O829" s="77">
        <v>818</v>
      </c>
    </row>
    <row r="830" spans="15:15">
      <c r="O830" s="77">
        <v>819</v>
      </c>
    </row>
    <row r="831" spans="15:15">
      <c r="O831" s="77">
        <v>820</v>
      </c>
    </row>
    <row r="832" spans="15:15">
      <c r="O832" s="77">
        <v>821</v>
      </c>
    </row>
    <row r="833" spans="15:15">
      <c r="O833" s="77">
        <v>822</v>
      </c>
    </row>
    <row r="834" spans="15:15">
      <c r="O834" s="77">
        <v>823</v>
      </c>
    </row>
    <row r="835" spans="15:15">
      <c r="O835" s="77">
        <v>824</v>
      </c>
    </row>
    <row r="836" spans="15:15">
      <c r="O836" s="77">
        <v>825</v>
      </c>
    </row>
    <row r="837" spans="15:15">
      <c r="O837" s="77">
        <v>826</v>
      </c>
    </row>
    <row r="838" spans="15:15">
      <c r="O838" s="77">
        <v>827</v>
      </c>
    </row>
    <row r="839" spans="15:15">
      <c r="O839" s="77">
        <v>828</v>
      </c>
    </row>
    <row r="840" spans="15:15">
      <c r="O840" s="77">
        <v>829</v>
      </c>
    </row>
    <row r="841" spans="15:15">
      <c r="O841" s="77">
        <v>830</v>
      </c>
    </row>
    <row r="842" spans="15:15">
      <c r="O842" s="77">
        <v>831</v>
      </c>
    </row>
    <row r="843" spans="15:15">
      <c r="O843" s="77">
        <v>832</v>
      </c>
    </row>
    <row r="844" spans="15:15">
      <c r="O844" s="77">
        <v>833</v>
      </c>
    </row>
    <row r="845" spans="15:15">
      <c r="O845" s="77">
        <v>834</v>
      </c>
    </row>
    <row r="846" spans="15:15">
      <c r="O846" s="77">
        <v>835</v>
      </c>
    </row>
    <row r="847" spans="15:15">
      <c r="O847" s="77">
        <v>836</v>
      </c>
    </row>
    <row r="848" spans="15:15">
      <c r="O848" s="77">
        <v>837</v>
      </c>
    </row>
    <row r="849" spans="15:15">
      <c r="O849" s="77">
        <v>838</v>
      </c>
    </row>
    <row r="850" spans="15:15">
      <c r="O850" s="77">
        <v>839</v>
      </c>
    </row>
    <row r="851" spans="15:15">
      <c r="O851" s="77">
        <v>840</v>
      </c>
    </row>
    <row r="852" spans="15:15">
      <c r="O852" s="77">
        <v>841</v>
      </c>
    </row>
    <row r="853" spans="15:15">
      <c r="O853" s="77">
        <v>842</v>
      </c>
    </row>
    <row r="854" spans="15:15">
      <c r="O854" s="77">
        <v>843</v>
      </c>
    </row>
    <row r="855" spans="15:15">
      <c r="O855" s="77">
        <v>844</v>
      </c>
    </row>
    <row r="856" spans="15:15">
      <c r="O856" s="77">
        <v>845</v>
      </c>
    </row>
    <row r="857" spans="15:15">
      <c r="O857" s="77">
        <v>846</v>
      </c>
    </row>
    <row r="858" spans="15:15">
      <c r="O858" s="77">
        <v>847</v>
      </c>
    </row>
    <row r="859" spans="15:15">
      <c r="O859" s="77">
        <v>848</v>
      </c>
    </row>
    <row r="860" spans="15:15">
      <c r="O860" s="77">
        <v>849</v>
      </c>
    </row>
    <row r="861" spans="15:15">
      <c r="O861" s="77">
        <v>850</v>
      </c>
    </row>
    <row r="862" spans="15:15">
      <c r="O862" s="77">
        <v>851</v>
      </c>
    </row>
    <row r="863" spans="15:15">
      <c r="O863" s="77">
        <v>852</v>
      </c>
    </row>
    <row r="864" spans="15:15">
      <c r="O864" s="77">
        <v>853</v>
      </c>
    </row>
    <row r="865" spans="15:15">
      <c r="O865" s="77">
        <v>854</v>
      </c>
    </row>
    <row r="866" spans="15:15">
      <c r="O866" s="77">
        <v>855</v>
      </c>
    </row>
    <row r="867" spans="15:15">
      <c r="O867" s="77">
        <v>856</v>
      </c>
    </row>
    <row r="868" spans="15:15">
      <c r="O868" s="77">
        <v>857</v>
      </c>
    </row>
    <row r="869" spans="15:15">
      <c r="O869" s="77">
        <v>858</v>
      </c>
    </row>
    <row r="870" spans="15:15">
      <c r="O870" s="77">
        <v>859</v>
      </c>
    </row>
    <row r="871" spans="15:15">
      <c r="O871" s="77">
        <v>860</v>
      </c>
    </row>
    <row r="872" spans="15:15">
      <c r="O872" s="77">
        <v>861</v>
      </c>
    </row>
    <row r="873" spans="15:15">
      <c r="O873" s="77">
        <v>862</v>
      </c>
    </row>
    <row r="874" spans="15:15">
      <c r="O874" s="77">
        <v>863</v>
      </c>
    </row>
    <row r="875" spans="15:15">
      <c r="O875" s="77">
        <v>864</v>
      </c>
    </row>
    <row r="876" spans="15:15">
      <c r="O876" s="77">
        <v>865</v>
      </c>
    </row>
    <row r="877" spans="15:15">
      <c r="O877" s="77">
        <v>866</v>
      </c>
    </row>
    <row r="878" spans="15:15">
      <c r="O878" s="77">
        <v>867</v>
      </c>
    </row>
    <row r="879" spans="15:15">
      <c r="O879" s="77">
        <v>868</v>
      </c>
    </row>
    <row r="880" spans="15:15">
      <c r="O880" s="77">
        <v>869</v>
      </c>
    </row>
    <row r="881" spans="15:15">
      <c r="O881" s="77">
        <v>870</v>
      </c>
    </row>
    <row r="882" spans="15:15">
      <c r="O882" s="77">
        <v>871</v>
      </c>
    </row>
    <row r="883" spans="15:15">
      <c r="O883" s="77">
        <v>872</v>
      </c>
    </row>
    <row r="884" spans="15:15">
      <c r="O884" s="77">
        <v>873</v>
      </c>
    </row>
    <row r="885" spans="15:15">
      <c r="O885" s="77">
        <v>874</v>
      </c>
    </row>
    <row r="886" spans="15:15">
      <c r="O886" s="77">
        <v>875</v>
      </c>
    </row>
    <row r="887" spans="15:15">
      <c r="O887" s="77">
        <v>876</v>
      </c>
    </row>
    <row r="888" spans="15:15">
      <c r="O888" s="77">
        <v>877</v>
      </c>
    </row>
    <row r="889" spans="15:15">
      <c r="O889" s="77">
        <v>878</v>
      </c>
    </row>
    <row r="890" spans="15:15">
      <c r="O890" s="77">
        <v>879</v>
      </c>
    </row>
    <row r="891" spans="15:15">
      <c r="O891" s="77">
        <v>880</v>
      </c>
    </row>
    <row r="892" spans="15:15">
      <c r="O892" s="77">
        <v>881</v>
      </c>
    </row>
    <row r="893" spans="15:15">
      <c r="O893" s="77">
        <v>882</v>
      </c>
    </row>
    <row r="894" spans="15:15">
      <c r="O894" s="77">
        <v>883</v>
      </c>
    </row>
    <row r="895" spans="15:15">
      <c r="O895" s="77">
        <v>884</v>
      </c>
    </row>
    <row r="896" spans="15:15">
      <c r="O896" s="77">
        <v>885</v>
      </c>
    </row>
    <row r="897" spans="15:15">
      <c r="O897" s="77">
        <v>886</v>
      </c>
    </row>
    <row r="898" spans="15:15">
      <c r="O898" s="77">
        <v>887</v>
      </c>
    </row>
    <row r="899" spans="15:15">
      <c r="O899" s="77">
        <v>888</v>
      </c>
    </row>
    <row r="900" spans="15:15">
      <c r="O900" s="77">
        <v>889</v>
      </c>
    </row>
    <row r="901" spans="15:15">
      <c r="O901" s="77">
        <v>890</v>
      </c>
    </row>
    <row r="902" spans="15:15">
      <c r="O902" s="77">
        <v>891</v>
      </c>
    </row>
    <row r="903" spans="15:15">
      <c r="O903" s="77">
        <v>892</v>
      </c>
    </row>
    <row r="904" spans="15:15">
      <c r="O904" s="77">
        <v>893</v>
      </c>
    </row>
    <row r="905" spans="15:15">
      <c r="O905" s="77">
        <v>894</v>
      </c>
    </row>
    <row r="906" spans="15:15">
      <c r="O906" s="77">
        <v>895</v>
      </c>
    </row>
    <row r="907" spans="15:15">
      <c r="O907" s="77">
        <v>896</v>
      </c>
    </row>
    <row r="908" spans="15:15">
      <c r="O908" s="77">
        <v>897</v>
      </c>
    </row>
    <row r="909" spans="15:15">
      <c r="O909" s="77">
        <v>898</v>
      </c>
    </row>
    <row r="910" spans="15:15">
      <c r="O910" s="77">
        <v>899</v>
      </c>
    </row>
    <row r="911" spans="15:15">
      <c r="O911" s="77">
        <v>900</v>
      </c>
    </row>
    <row r="912" spans="15:15">
      <c r="O912" s="77">
        <v>901</v>
      </c>
    </row>
    <row r="913" spans="15:15">
      <c r="O913" s="77">
        <v>902</v>
      </c>
    </row>
    <row r="914" spans="15:15">
      <c r="O914" s="77">
        <v>903</v>
      </c>
    </row>
    <row r="915" spans="15:15">
      <c r="O915" s="77">
        <v>904</v>
      </c>
    </row>
    <row r="916" spans="15:15">
      <c r="O916" s="77">
        <v>905</v>
      </c>
    </row>
    <row r="917" spans="15:15">
      <c r="O917" s="77">
        <v>906</v>
      </c>
    </row>
    <row r="918" spans="15:15">
      <c r="O918" s="77">
        <v>907</v>
      </c>
    </row>
    <row r="919" spans="15:15">
      <c r="O919" s="77">
        <v>908</v>
      </c>
    </row>
    <row r="920" spans="15:15">
      <c r="O920" s="77">
        <v>909</v>
      </c>
    </row>
    <row r="921" spans="15:15">
      <c r="O921" s="77">
        <v>910</v>
      </c>
    </row>
    <row r="922" spans="15:15">
      <c r="O922" s="77">
        <v>911</v>
      </c>
    </row>
    <row r="923" spans="15:15">
      <c r="O923" s="77">
        <v>912</v>
      </c>
    </row>
    <row r="924" spans="15:15">
      <c r="O924" s="77">
        <v>913</v>
      </c>
    </row>
    <row r="925" spans="15:15">
      <c r="O925" s="77">
        <v>914</v>
      </c>
    </row>
    <row r="926" spans="15:15">
      <c r="O926" s="77">
        <v>915</v>
      </c>
    </row>
    <row r="927" spans="15:15">
      <c r="O927" s="77">
        <v>916</v>
      </c>
    </row>
    <row r="928" spans="15:15">
      <c r="O928" s="77">
        <v>917</v>
      </c>
    </row>
    <row r="929" spans="15:15">
      <c r="O929" s="77">
        <v>918</v>
      </c>
    </row>
    <row r="930" spans="15:15">
      <c r="O930" s="77">
        <v>919</v>
      </c>
    </row>
    <row r="931" spans="15:15">
      <c r="O931" s="77">
        <v>920</v>
      </c>
    </row>
    <row r="932" spans="15:15">
      <c r="O932" s="77">
        <v>921</v>
      </c>
    </row>
    <row r="933" spans="15:15">
      <c r="O933" s="77">
        <v>922</v>
      </c>
    </row>
    <row r="934" spans="15:15">
      <c r="O934" s="77">
        <v>923</v>
      </c>
    </row>
    <row r="935" spans="15:15">
      <c r="O935" s="77">
        <v>924</v>
      </c>
    </row>
    <row r="936" spans="15:15">
      <c r="O936" s="77">
        <v>925</v>
      </c>
    </row>
    <row r="937" spans="15:15">
      <c r="O937" s="77">
        <v>926</v>
      </c>
    </row>
    <row r="938" spans="15:15">
      <c r="O938" s="77">
        <v>927</v>
      </c>
    </row>
    <row r="939" spans="15:15">
      <c r="O939" s="77">
        <v>928</v>
      </c>
    </row>
    <row r="940" spans="15:15">
      <c r="O940" s="77">
        <v>929</v>
      </c>
    </row>
    <row r="941" spans="15:15">
      <c r="O941" s="77">
        <v>930</v>
      </c>
    </row>
    <row r="942" spans="15:15">
      <c r="O942" s="77">
        <v>931</v>
      </c>
    </row>
    <row r="943" spans="15:15">
      <c r="O943" s="77">
        <v>932</v>
      </c>
    </row>
    <row r="944" spans="15:15">
      <c r="O944" s="77">
        <v>933</v>
      </c>
    </row>
    <row r="945" spans="15:15">
      <c r="O945" s="77">
        <v>934</v>
      </c>
    </row>
    <row r="946" spans="15:15">
      <c r="O946" s="77">
        <v>935</v>
      </c>
    </row>
    <row r="947" spans="15:15">
      <c r="O947" s="77">
        <v>936</v>
      </c>
    </row>
    <row r="948" spans="15:15">
      <c r="O948" s="77">
        <v>937</v>
      </c>
    </row>
    <row r="949" spans="15:15">
      <c r="O949" s="77">
        <v>938</v>
      </c>
    </row>
    <row r="950" spans="15:15">
      <c r="O950" s="77">
        <v>939</v>
      </c>
    </row>
    <row r="951" spans="15:15">
      <c r="O951" s="77">
        <v>940</v>
      </c>
    </row>
    <row r="952" spans="15:15">
      <c r="O952" s="77">
        <v>941</v>
      </c>
    </row>
    <row r="953" spans="15:15">
      <c r="O953" s="77">
        <v>942</v>
      </c>
    </row>
    <row r="954" spans="15:15">
      <c r="O954" s="77">
        <v>943</v>
      </c>
    </row>
    <row r="955" spans="15:15">
      <c r="O955" s="77">
        <v>944</v>
      </c>
    </row>
    <row r="956" spans="15:15">
      <c r="O956" s="77">
        <v>945</v>
      </c>
    </row>
    <row r="957" spans="15:15">
      <c r="O957" s="77">
        <v>946</v>
      </c>
    </row>
    <row r="958" spans="15:15">
      <c r="O958" s="77">
        <v>947</v>
      </c>
    </row>
    <row r="959" spans="15:15">
      <c r="O959" s="77">
        <v>948</v>
      </c>
    </row>
    <row r="960" spans="15:15">
      <c r="O960" s="77">
        <v>949</v>
      </c>
    </row>
    <row r="961" spans="15:15">
      <c r="O961" s="77">
        <v>950</v>
      </c>
    </row>
    <row r="962" spans="15:15">
      <c r="O962" s="77">
        <v>951</v>
      </c>
    </row>
    <row r="963" spans="15:15">
      <c r="O963" s="77">
        <v>952</v>
      </c>
    </row>
    <row r="964" spans="15:15">
      <c r="O964" s="77">
        <v>953</v>
      </c>
    </row>
    <row r="965" spans="15:15">
      <c r="O965" s="77">
        <v>954</v>
      </c>
    </row>
    <row r="966" spans="15:15">
      <c r="O966" s="77">
        <v>955</v>
      </c>
    </row>
    <row r="967" spans="15:15">
      <c r="O967" s="77">
        <v>956</v>
      </c>
    </row>
    <row r="968" spans="15:15">
      <c r="O968" s="77">
        <v>957</v>
      </c>
    </row>
    <row r="969" spans="15:15">
      <c r="O969" s="77">
        <v>958</v>
      </c>
    </row>
    <row r="970" spans="15:15">
      <c r="O970" s="77">
        <v>959</v>
      </c>
    </row>
    <row r="971" spans="15:15">
      <c r="O971" s="77">
        <v>960</v>
      </c>
    </row>
    <row r="972" spans="15:15">
      <c r="O972" s="77">
        <v>961</v>
      </c>
    </row>
    <row r="973" spans="15:15">
      <c r="O973" s="77">
        <v>962</v>
      </c>
    </row>
    <row r="974" spans="15:15">
      <c r="O974" s="77">
        <v>963</v>
      </c>
    </row>
    <row r="975" spans="15:15">
      <c r="O975" s="77">
        <v>964</v>
      </c>
    </row>
    <row r="976" spans="15:15">
      <c r="O976" s="77">
        <v>965</v>
      </c>
    </row>
    <row r="977" spans="15:15">
      <c r="O977" s="77">
        <v>966</v>
      </c>
    </row>
    <row r="978" spans="15:15">
      <c r="O978" s="77">
        <v>967</v>
      </c>
    </row>
    <row r="979" spans="15:15">
      <c r="O979" s="77">
        <v>968</v>
      </c>
    </row>
    <row r="980" spans="15:15">
      <c r="O980" s="77">
        <v>969</v>
      </c>
    </row>
    <row r="981" spans="15:15">
      <c r="O981" s="77">
        <v>970</v>
      </c>
    </row>
    <row r="982" spans="15:15">
      <c r="O982" s="77">
        <v>971</v>
      </c>
    </row>
    <row r="983" spans="15:15">
      <c r="O983" s="77">
        <v>972</v>
      </c>
    </row>
    <row r="984" spans="15:15">
      <c r="O984" s="77">
        <v>973</v>
      </c>
    </row>
    <row r="985" spans="15:15">
      <c r="O985" s="77">
        <v>974</v>
      </c>
    </row>
    <row r="986" spans="15:15">
      <c r="O986" s="77">
        <v>975</v>
      </c>
    </row>
    <row r="987" spans="15:15">
      <c r="O987" s="77">
        <v>976</v>
      </c>
    </row>
    <row r="988" spans="15:15">
      <c r="O988" s="77">
        <v>977</v>
      </c>
    </row>
    <row r="989" spans="15:15">
      <c r="O989" s="77">
        <v>978</v>
      </c>
    </row>
    <row r="990" spans="15:15">
      <c r="O990" s="77">
        <v>979</v>
      </c>
    </row>
    <row r="991" spans="15:15">
      <c r="O991" s="77">
        <v>980</v>
      </c>
    </row>
    <row r="992" spans="15:15">
      <c r="O992" s="77">
        <v>981</v>
      </c>
    </row>
    <row r="993" spans="15:15">
      <c r="O993" s="77">
        <v>982</v>
      </c>
    </row>
    <row r="994" spans="15:15">
      <c r="O994" s="77">
        <v>983</v>
      </c>
    </row>
    <row r="995" spans="15:15">
      <c r="O995" s="77">
        <v>984</v>
      </c>
    </row>
    <row r="996" spans="15:15">
      <c r="O996" s="77">
        <v>985</v>
      </c>
    </row>
    <row r="997" spans="15:15">
      <c r="O997" s="77">
        <v>986</v>
      </c>
    </row>
    <row r="998" spans="15:15">
      <c r="O998" s="77">
        <v>987</v>
      </c>
    </row>
    <row r="999" spans="15:15">
      <c r="O999" s="77">
        <v>988</v>
      </c>
    </row>
    <row r="1000" spans="15:15">
      <c r="O1000" s="77">
        <v>989</v>
      </c>
    </row>
    <row r="1001" spans="15:15">
      <c r="O1001" s="77">
        <v>990</v>
      </c>
    </row>
    <row r="1002" spans="15:15">
      <c r="O1002" s="77">
        <v>991</v>
      </c>
    </row>
    <row r="1003" spans="15:15">
      <c r="O1003" s="77">
        <v>992</v>
      </c>
    </row>
    <row r="1004" spans="15:15">
      <c r="O1004" s="77">
        <v>993</v>
      </c>
    </row>
    <row r="1005" spans="15:15">
      <c r="O1005" s="77">
        <v>994</v>
      </c>
    </row>
    <row r="1006" spans="15:15">
      <c r="O1006" s="77">
        <v>995</v>
      </c>
    </row>
    <row r="1007" spans="15:15">
      <c r="O1007" s="77">
        <v>996</v>
      </c>
    </row>
    <row r="1008" spans="15:15">
      <c r="O1008" s="77">
        <v>997</v>
      </c>
    </row>
    <row r="1009" spans="15:15">
      <c r="O1009" s="77">
        <v>998</v>
      </c>
    </row>
    <row r="1010" spans="15:15">
      <c r="O1010" s="77">
        <v>999</v>
      </c>
    </row>
  </sheetData>
  <mergeCells count="2">
    <mergeCell ref="B2:D2"/>
    <mergeCell ref="A11:C11"/>
  </mergeCells>
  <dataValidations count="4">
    <dataValidation showInputMessage="1" showErrorMessage="1" sqref="C12"/>
    <dataValidation type="textLength" operator="between" showInputMessage="1" showErrorMessage="1" sqref="B13 B39 B15:B32">
      <formula1>1</formula1>
      <formula2>100</formula2>
    </dataValidation>
    <dataValidation type="list" showInputMessage="1" showErrorMessage="1" sqref="D33 D34 D35 D36 D37 D38 D39 D13:D32">
      <formula1>$B$7:$B$9</formula1>
    </dataValidation>
    <dataValidation allowBlank="1" showErrorMessage="1" sqref="C13:C39"/>
  </dataValidations>
  <pageMargins left="0.7875" right="0.7875" top="0.984027777777778" bottom="0.984027777777778" header="0.511811023622047" footer="0.511811023622047"/>
  <pageSetup paperSize="9" orientation="portrait" horizontalDpi="3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6"/>
  <sheetViews>
    <sheetView zoomScale="120" zoomScaleNormal="120" topLeftCell="A6" workbookViewId="0">
      <selection activeCell="G35" sqref="G35"/>
    </sheetView>
  </sheetViews>
  <sheetFormatPr defaultColWidth="8.67592592592593" defaultRowHeight="13.2"/>
  <cols>
    <col min="1" max="2" width="9.13888888888889" style="32" customWidth="1"/>
    <col min="3" max="3" width="40.4259259259259" style="32" customWidth="1"/>
    <col min="4" max="4" width="5.27777777777778" style="32" customWidth="1"/>
    <col min="5" max="5" width="10.4166666666667" style="32" customWidth="1"/>
    <col min="6" max="6" width="9.13888888888889" style="32" customWidth="1"/>
    <col min="7" max="7" width="10" style="32" customWidth="1"/>
    <col min="8" max="1025" width="9.13888888888889" style="32" customWidth="1"/>
  </cols>
  <sheetData>
    <row r="1" spans="2:1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6.35" spans="2:13">
      <c r="B4" s="33" t="s">
        <v>107</v>
      </c>
      <c r="C4" s="33"/>
      <c r="D4" s="33"/>
      <c r="E4" s="33"/>
      <c r="F4" s="1"/>
      <c r="G4" s="1"/>
      <c r="H4" s="1"/>
      <c r="I4" s="1"/>
      <c r="J4" s="1"/>
      <c r="K4" s="1"/>
      <c r="L4" s="1"/>
      <c r="M4" s="1"/>
    </row>
    <row r="5" ht="13.95" spans="2:1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2:1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2:13">
      <c r="B7" s="34" t="s">
        <v>108</v>
      </c>
      <c r="C7" s="34"/>
      <c r="D7" s="34"/>
      <c r="E7" s="34"/>
      <c r="F7" s="1"/>
      <c r="G7" s="1"/>
      <c r="H7" s="35"/>
      <c r="I7" s="35"/>
      <c r="J7" s="35"/>
      <c r="K7" s="35"/>
      <c r="L7" s="35"/>
      <c r="M7" s="35"/>
    </row>
    <row r="8" spans="2:13">
      <c r="B8" s="36" t="s">
        <v>51</v>
      </c>
      <c r="C8" s="37" t="s">
        <v>109</v>
      </c>
      <c r="D8" s="37" t="s">
        <v>34</v>
      </c>
      <c r="E8" s="37" t="s">
        <v>110</v>
      </c>
      <c r="F8" s="1"/>
      <c r="G8" s="1"/>
      <c r="H8" s="35"/>
      <c r="I8" s="35"/>
      <c r="J8" s="35"/>
      <c r="K8" s="35"/>
      <c r="L8" s="35"/>
      <c r="M8" s="35"/>
    </row>
    <row r="9" spans="2:13">
      <c r="B9" s="38" t="s">
        <v>111</v>
      </c>
      <c r="C9" s="39" t="s">
        <v>112</v>
      </c>
      <c r="D9" s="38">
        <v>2</v>
      </c>
      <c r="E9" s="40">
        <v>0</v>
      </c>
      <c r="F9" s="1"/>
      <c r="G9" s="1"/>
      <c r="H9" s="35"/>
      <c r="I9" s="41"/>
      <c r="J9" s="35"/>
      <c r="K9" s="35"/>
      <c r="L9" s="35"/>
      <c r="M9" s="35"/>
    </row>
    <row r="10" spans="2:13">
      <c r="B10" s="38" t="s">
        <v>113</v>
      </c>
      <c r="C10" s="39" t="s">
        <v>114</v>
      </c>
      <c r="D10" s="38">
        <v>1</v>
      </c>
      <c r="E10" s="40">
        <v>1</v>
      </c>
      <c r="F10" s="1"/>
      <c r="G10" s="1"/>
      <c r="H10" s="35"/>
      <c r="I10" s="41"/>
      <c r="J10" s="35"/>
      <c r="K10" s="35"/>
      <c r="L10" s="35"/>
      <c r="M10" s="35"/>
    </row>
    <row r="11" spans="2:13">
      <c r="B11" s="38" t="s">
        <v>115</v>
      </c>
      <c r="C11" s="39" t="s">
        <v>116</v>
      </c>
      <c r="D11" s="38">
        <v>1</v>
      </c>
      <c r="E11" s="40">
        <v>1</v>
      </c>
      <c r="F11" s="1"/>
      <c r="G11" s="1"/>
      <c r="H11" s="35"/>
      <c r="I11" s="41"/>
      <c r="J11" s="35"/>
      <c r="K11" s="35"/>
      <c r="L11" s="35"/>
      <c r="M11" s="35"/>
    </row>
    <row r="12" spans="2:13">
      <c r="B12" s="38" t="s">
        <v>117</v>
      </c>
      <c r="C12" s="39" t="s">
        <v>118</v>
      </c>
      <c r="D12" s="38">
        <v>1</v>
      </c>
      <c r="E12" s="40">
        <v>1</v>
      </c>
      <c r="F12" s="1"/>
      <c r="G12" s="1"/>
      <c r="H12" s="35"/>
      <c r="I12" s="41"/>
      <c r="J12" s="35"/>
      <c r="K12" s="35"/>
      <c r="L12" s="35"/>
      <c r="M12" s="35"/>
    </row>
    <row r="13" spans="2:13">
      <c r="B13" s="38" t="s">
        <v>119</v>
      </c>
      <c r="C13" s="39" t="s">
        <v>120</v>
      </c>
      <c r="D13" s="38">
        <v>1</v>
      </c>
      <c r="E13" s="40">
        <v>2</v>
      </c>
      <c r="F13" s="1"/>
      <c r="G13" s="1"/>
      <c r="H13" s="35"/>
      <c r="I13" s="41"/>
      <c r="J13" s="35"/>
      <c r="K13" s="35"/>
      <c r="L13" s="35"/>
      <c r="M13" s="35"/>
    </row>
    <row r="14" spans="2:13">
      <c r="B14" s="38" t="s">
        <v>121</v>
      </c>
      <c r="C14" s="39" t="s">
        <v>122</v>
      </c>
      <c r="D14" s="38">
        <v>0.5</v>
      </c>
      <c r="E14" s="40">
        <v>1</v>
      </c>
      <c r="F14" s="1"/>
      <c r="G14" s="1"/>
      <c r="H14" s="35"/>
      <c r="I14" s="41"/>
      <c r="J14" s="35"/>
      <c r="K14" s="35"/>
      <c r="L14" s="35"/>
      <c r="M14" s="35"/>
    </row>
    <row r="15" spans="2:13">
      <c r="B15" s="38" t="s">
        <v>123</v>
      </c>
      <c r="C15" s="39" t="s">
        <v>124</v>
      </c>
      <c r="D15" s="38">
        <v>0.5</v>
      </c>
      <c r="E15" s="40">
        <v>3</v>
      </c>
      <c r="F15" s="1"/>
      <c r="G15" s="1"/>
      <c r="H15" s="35"/>
      <c r="I15" s="41"/>
      <c r="J15" s="35"/>
      <c r="K15" s="35"/>
      <c r="L15" s="35"/>
      <c r="M15" s="35"/>
    </row>
    <row r="16" spans="2:13">
      <c r="B16" s="38" t="s">
        <v>125</v>
      </c>
      <c r="C16" s="39" t="s">
        <v>126</v>
      </c>
      <c r="D16" s="38">
        <v>2</v>
      </c>
      <c r="E16" s="40">
        <v>0</v>
      </c>
      <c r="F16" s="1"/>
      <c r="G16" s="1"/>
      <c r="H16" s="35"/>
      <c r="I16" s="41"/>
      <c r="J16" s="35"/>
      <c r="K16" s="35"/>
      <c r="L16" s="35"/>
      <c r="M16" s="35"/>
    </row>
    <row r="17" spans="2:13">
      <c r="B17" s="38" t="s">
        <v>127</v>
      </c>
      <c r="C17" s="39" t="s">
        <v>128</v>
      </c>
      <c r="D17" s="38">
        <v>1</v>
      </c>
      <c r="E17" s="40">
        <v>2</v>
      </c>
      <c r="F17" s="1"/>
      <c r="G17" s="1"/>
      <c r="H17" s="35"/>
      <c r="I17" s="41"/>
      <c r="J17" s="35"/>
      <c r="K17" s="35"/>
      <c r="L17" s="35"/>
      <c r="M17" s="35"/>
    </row>
    <row r="18" spans="2:13">
      <c r="B18" s="38" t="s">
        <v>129</v>
      </c>
      <c r="C18" s="39" t="s">
        <v>130</v>
      </c>
      <c r="D18" s="38">
        <v>1</v>
      </c>
      <c r="E18" s="40">
        <v>0</v>
      </c>
      <c r="F18" s="1"/>
      <c r="G18" s="1"/>
      <c r="H18" s="35"/>
      <c r="I18" s="41"/>
      <c r="J18" s="35"/>
      <c r="K18" s="35"/>
      <c r="L18" s="35"/>
      <c r="M18" s="35"/>
    </row>
    <row r="19" spans="2:13">
      <c r="B19" s="38" t="s">
        <v>131</v>
      </c>
      <c r="C19" s="39" t="s">
        <v>132</v>
      </c>
      <c r="D19" s="38">
        <v>1</v>
      </c>
      <c r="E19" s="40">
        <v>2</v>
      </c>
      <c r="F19" s="1"/>
      <c r="G19" s="1"/>
      <c r="H19" s="35"/>
      <c r="I19" s="41"/>
      <c r="J19" s="35"/>
      <c r="K19" s="35"/>
      <c r="L19" s="35"/>
      <c r="M19" s="35"/>
    </row>
    <row r="20" spans="2:13">
      <c r="B20" s="38" t="s">
        <v>133</v>
      </c>
      <c r="C20" s="39" t="s">
        <v>134</v>
      </c>
      <c r="D20" s="38">
        <v>1</v>
      </c>
      <c r="E20" s="40">
        <v>0</v>
      </c>
      <c r="F20" s="1"/>
      <c r="G20" s="1"/>
      <c r="H20" s="35"/>
      <c r="I20" s="41"/>
      <c r="J20" s="35"/>
      <c r="K20" s="35"/>
      <c r="L20" s="35"/>
      <c r="M20" s="35"/>
    </row>
    <row r="21" spans="2:13">
      <c r="B21" s="38" t="s">
        <v>135</v>
      </c>
      <c r="C21" s="39" t="s">
        <v>136</v>
      </c>
      <c r="D21" s="38">
        <v>1</v>
      </c>
      <c r="E21" s="40">
        <v>0</v>
      </c>
      <c r="F21" s="1"/>
      <c r="G21" s="1"/>
      <c r="H21" s="35"/>
      <c r="I21" s="41"/>
      <c r="J21" s="35"/>
      <c r="K21" s="35"/>
      <c r="L21" s="35"/>
      <c r="M21" s="35"/>
    </row>
    <row r="22" spans="2:13">
      <c r="B22" s="42" t="s">
        <v>137</v>
      </c>
      <c r="C22" s="42"/>
      <c r="D22" s="42"/>
      <c r="E22" s="43">
        <f>0.6+(0.01*SUM(D9*E9,D10*E10,D11*E11,D12*E12,D13*E13,D14*E14,D15*E15,D16*E16,D17*E17,D18*E18,D19*E19,D20*E20,D21*E21))</f>
        <v>0.71</v>
      </c>
      <c r="F22" s="1"/>
      <c r="G22" s="1"/>
      <c r="H22" s="35"/>
      <c r="I22" s="35"/>
      <c r="J22" s="35"/>
      <c r="K22" s="35"/>
      <c r="L22" s="35"/>
      <c r="M22" s="35"/>
    </row>
    <row r="23" spans="2:13">
      <c r="B23" s="1"/>
      <c r="C23" s="1"/>
      <c r="D23" s="1"/>
      <c r="E23" s="1"/>
      <c r="F23" s="1"/>
      <c r="G23" s="1"/>
      <c r="H23" s="35"/>
      <c r="I23" s="35"/>
      <c r="J23" s="35"/>
      <c r="K23" s="35"/>
      <c r="L23" s="35"/>
      <c r="M23" s="35"/>
    </row>
    <row r="24" spans="2:13">
      <c r="B24" s="1"/>
      <c r="C24" s="1"/>
      <c r="D24" s="1"/>
      <c r="E24" s="1"/>
      <c r="F24" s="1"/>
      <c r="G24" s="1"/>
      <c r="I24" s="1"/>
    </row>
    <row r="25" spans="2:13">
      <c r="B25" s="1"/>
      <c r="C25" s="1"/>
      <c r="D25" s="1"/>
      <c r="E25" s="1"/>
      <c r="F25" s="1"/>
      <c r="G25" s="1"/>
      <c r="I25" s="1"/>
    </row>
    <row r="26" spans="2:13">
      <c r="B26" s="44" t="s">
        <v>138</v>
      </c>
      <c r="C26" s="44"/>
      <c r="D26" s="44"/>
      <c r="E26" s="44"/>
      <c r="F26" s="45"/>
      <c r="G26" s="46"/>
      <c r="I26" s="1"/>
    </row>
    <row r="27" spans="2:13">
      <c r="B27" s="47" t="s">
        <v>51</v>
      </c>
      <c r="C27" s="48" t="s">
        <v>109</v>
      </c>
      <c r="D27" s="48"/>
      <c r="E27" s="48"/>
      <c r="F27" s="47" t="s">
        <v>34</v>
      </c>
      <c r="G27" s="47" t="s">
        <v>110</v>
      </c>
      <c r="I27" s="1"/>
    </row>
    <row r="28" spans="2:13">
      <c r="B28" s="38" t="s">
        <v>139</v>
      </c>
      <c r="C28" s="49" t="s">
        <v>140</v>
      </c>
      <c r="D28" s="49"/>
      <c r="E28" s="49"/>
      <c r="F28" s="38">
        <v>1.5</v>
      </c>
      <c r="G28" s="40">
        <v>0</v>
      </c>
      <c r="I28" s="41"/>
    </row>
    <row r="29" spans="2:13">
      <c r="B29" s="38" t="s">
        <v>141</v>
      </c>
      <c r="C29" s="49" t="s">
        <v>142</v>
      </c>
      <c r="D29" s="49"/>
      <c r="E29" s="49"/>
      <c r="F29" s="38">
        <v>0.5</v>
      </c>
      <c r="G29" s="40">
        <v>2</v>
      </c>
      <c r="I29" s="41"/>
    </row>
    <row r="30" spans="2:13">
      <c r="B30" s="38" t="s">
        <v>143</v>
      </c>
      <c r="C30" s="49" t="s">
        <v>144</v>
      </c>
      <c r="D30" s="49"/>
      <c r="E30" s="49"/>
      <c r="F30" s="38">
        <v>1</v>
      </c>
      <c r="G30" s="40">
        <v>1</v>
      </c>
      <c r="I30" s="41"/>
    </row>
    <row r="31" spans="2:13">
      <c r="B31" s="38" t="s">
        <v>145</v>
      </c>
      <c r="C31" s="49" t="s">
        <v>146</v>
      </c>
      <c r="D31" s="49"/>
      <c r="E31" s="49"/>
      <c r="F31" s="38">
        <v>0.5</v>
      </c>
      <c r="G31" s="40">
        <v>1</v>
      </c>
      <c r="I31" s="41"/>
    </row>
    <row r="32" spans="2:13">
      <c r="B32" s="38" t="s">
        <v>147</v>
      </c>
      <c r="C32" s="49" t="s">
        <v>148</v>
      </c>
      <c r="D32" s="49"/>
      <c r="E32" s="49"/>
      <c r="F32" s="38">
        <v>1</v>
      </c>
      <c r="G32" s="40">
        <v>5</v>
      </c>
      <c r="I32" s="41"/>
    </row>
    <row r="33" spans="2:9">
      <c r="B33" s="38" t="s">
        <v>149</v>
      </c>
      <c r="C33" s="49" t="s">
        <v>150</v>
      </c>
      <c r="D33" s="49"/>
      <c r="E33" s="49"/>
      <c r="F33" s="38">
        <v>2</v>
      </c>
      <c r="G33" s="40">
        <v>5</v>
      </c>
      <c r="I33" s="41"/>
    </row>
    <row r="34" spans="2:9">
      <c r="B34" s="38" t="s">
        <v>151</v>
      </c>
      <c r="C34" s="49" t="s">
        <v>152</v>
      </c>
      <c r="D34" s="49"/>
      <c r="E34" s="49"/>
      <c r="F34" s="38">
        <v>-1</v>
      </c>
      <c r="G34" s="40">
        <v>5</v>
      </c>
      <c r="I34" s="41"/>
    </row>
    <row r="35" spans="2:9">
      <c r="B35" s="38" t="s">
        <v>153</v>
      </c>
      <c r="C35" s="49" t="s">
        <v>154</v>
      </c>
      <c r="D35" s="49"/>
      <c r="E35" s="49"/>
      <c r="F35" s="38">
        <v>-1</v>
      </c>
      <c r="G35" s="40">
        <v>4</v>
      </c>
      <c r="I35" s="41"/>
    </row>
    <row r="36" spans="2:9">
      <c r="B36" s="42" t="s">
        <v>155</v>
      </c>
      <c r="C36" s="42"/>
      <c r="D36" s="42"/>
      <c r="E36" s="42"/>
      <c r="F36" s="42"/>
      <c r="G36" s="50">
        <f>1.4+(-0.03*SUM(F28*G28,F29*G29,F30*G30,F31*G31,F32*G32,F33*G33,F34*G34,F35*G35))</f>
        <v>1.145</v>
      </c>
      <c r="I36" s="35"/>
    </row>
  </sheetData>
  <sheetProtection password="C6D5" sheet="1" selectLockedCells="1" objects="1" scenarios="1"/>
  <mergeCells count="14">
    <mergeCell ref="B4:E4"/>
    <mergeCell ref="B7:E7"/>
    <mergeCell ref="B22:D22"/>
    <mergeCell ref="B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B36:F36"/>
  </mergeCells>
  <dataValidations count="2">
    <dataValidation type="whole" operator="between" showErrorMessage="1" promptTitle="Influência" sqref="E9:E21 I9:I21">
      <formula1>0</formula1>
      <formula2>5</formula2>
    </dataValidation>
    <dataValidation type="whole" operator="between" showInputMessage="1" showErrorMessage="1" sqref="G28:G35 I28:I35">
      <formula1>0</formula1>
      <formula2>5</formula2>
    </dataValidation>
  </dataValidations>
  <pageMargins left="0.7875" right="0.7875" top="0.984027777777778" bottom="0.984027777777778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BC31"/>
  <sheetViews>
    <sheetView zoomScale="120" zoomScaleNormal="120" workbookViewId="0">
      <selection activeCell="D13" sqref="D13"/>
    </sheetView>
  </sheetViews>
  <sheetFormatPr defaultColWidth="8.67592592592593" defaultRowHeight="13.2"/>
  <cols>
    <col min="1" max="3" width="11.5740740740741" style="1" customWidth="1"/>
    <col min="4" max="4" width="15" style="1" customWidth="1"/>
    <col min="5" max="5" width="14.2777777777778" style="1" customWidth="1"/>
    <col min="6" max="6" width="20.5740740740741" style="1" customWidth="1"/>
    <col min="7" max="7" width="16.712962962963" style="1" customWidth="1"/>
    <col min="8" max="8" width="20.712962962963" style="1" customWidth="1"/>
    <col min="9" max="1025" width="11.5740740740741" style="1" customWidth="1"/>
  </cols>
  <sheetData>
    <row r="1" ht="18.15" spans="1:55">
      <c r="A1" s="2"/>
      <c r="B1" s="3" t="s">
        <v>156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ht="13.95" spans="1:5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ht="13.95" spans="1:5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13.95" spans="1:55">
      <c r="A5" s="2"/>
      <c r="B5" s="5" t="s">
        <v>157</v>
      </c>
      <c r="C5" s="6" t="s">
        <v>158</v>
      </c>
      <c r="D5" s="6" t="s">
        <v>159</v>
      </c>
      <c r="E5" s="7" t="s">
        <v>160</v>
      </c>
      <c r="F5" s="7" t="s">
        <v>161</v>
      </c>
      <c r="G5" s="7" t="s">
        <v>162</v>
      </c>
      <c r="H5" s="7" t="s">
        <v>163</v>
      </c>
      <c r="I5" s="7" t="s">
        <v>164</v>
      </c>
      <c r="J5" s="7" t="s">
        <v>165</v>
      </c>
      <c r="K5" s="7" t="s">
        <v>166</v>
      </c>
      <c r="L5" s="8" t="s">
        <v>167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ht="13.95" spans="1:55">
      <c r="A6" s="2"/>
      <c r="B6" s="9" t="s">
        <v>168</v>
      </c>
      <c r="C6" s="10">
        <v>190</v>
      </c>
      <c r="D6" s="11">
        <f>SUM(E6:K6)</f>
        <v>589</v>
      </c>
      <c r="E6" s="12">
        <v>25</v>
      </c>
      <c r="F6" s="12">
        <v>80</v>
      </c>
      <c r="G6" s="12">
        <v>25</v>
      </c>
      <c r="H6" s="12">
        <v>400</v>
      </c>
      <c r="I6" s="12">
        <v>10</v>
      </c>
      <c r="J6" s="12">
        <v>25</v>
      </c>
      <c r="K6" s="12">
        <v>24</v>
      </c>
      <c r="L6" s="13">
        <f>D6/C6</f>
        <v>3.1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ht="13.95" spans="1:55">
      <c r="A7" s="2"/>
      <c r="B7" s="9" t="s">
        <v>169</v>
      </c>
      <c r="C7" s="11">
        <v>130</v>
      </c>
      <c r="D7" s="11">
        <f>SUM(E7:K7)</f>
        <v>326</v>
      </c>
      <c r="E7" s="14">
        <v>20</v>
      </c>
      <c r="F7" s="14">
        <v>120</v>
      </c>
      <c r="G7" s="14">
        <v>30</v>
      </c>
      <c r="H7" s="14">
        <v>100</v>
      </c>
      <c r="I7" s="14">
        <v>10</v>
      </c>
      <c r="J7" s="14">
        <v>30</v>
      </c>
      <c r="K7" s="14">
        <v>16</v>
      </c>
      <c r="L7" s="13">
        <f>D7/C7</f>
        <v>2.50769230769231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</row>
    <row r="8" ht="13.95" spans="1:55">
      <c r="A8" s="2"/>
      <c r="B8" s="9" t="s">
        <v>170</v>
      </c>
      <c r="C8" s="11">
        <v>140</v>
      </c>
      <c r="D8" s="11">
        <f>SUM(E8:K8)</f>
        <v>399</v>
      </c>
      <c r="E8" s="15">
        <v>17</v>
      </c>
      <c r="F8" s="15">
        <v>90</v>
      </c>
      <c r="G8" s="15">
        <v>32</v>
      </c>
      <c r="H8" s="15">
        <v>200</v>
      </c>
      <c r="I8" s="15">
        <v>12</v>
      </c>
      <c r="J8" s="15">
        <v>32</v>
      </c>
      <c r="K8" s="15">
        <v>16</v>
      </c>
      <c r="L8" s="13">
        <f>D8/C8</f>
        <v>2.85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spans="1:55">
      <c r="A9" s="2"/>
      <c r="B9" s="9" t="s">
        <v>171</v>
      </c>
      <c r="C9" s="11">
        <v>125</v>
      </c>
      <c r="D9" s="11">
        <f>SUM(E9:K9)</f>
        <v>486</v>
      </c>
      <c r="E9" s="14">
        <v>22</v>
      </c>
      <c r="F9" s="14">
        <v>80</v>
      </c>
      <c r="G9" s="14">
        <v>33</v>
      </c>
      <c r="H9" s="14">
        <v>300</v>
      </c>
      <c r="I9" s="14">
        <v>8</v>
      </c>
      <c r="J9" s="14">
        <v>35</v>
      </c>
      <c r="K9" s="14">
        <v>8</v>
      </c>
      <c r="L9" s="13">
        <f>D9/C9</f>
        <v>3.888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spans="1:55">
      <c r="A10" s="2"/>
      <c r="B10" s="16"/>
      <c r="C10" s="11"/>
      <c r="D10" s="11"/>
      <c r="E10" s="14"/>
      <c r="F10" s="14"/>
      <c r="G10" s="14"/>
      <c r="H10" s="14"/>
      <c r="I10" s="14"/>
      <c r="J10" s="14"/>
      <c r="K10" s="14"/>
      <c r="L10" s="1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>
      <c r="A11" s="2"/>
      <c r="B11" s="16"/>
      <c r="C11" s="11"/>
      <c r="D11" s="11"/>
      <c r="E11" s="14"/>
      <c r="F11" s="14"/>
      <c r="G11" s="14"/>
      <c r="H11" s="14"/>
      <c r="I11" s="14"/>
      <c r="J11" s="14"/>
      <c r="K11" s="14"/>
      <c r="L11" s="1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>
      <c r="A12" s="2"/>
      <c r="B12" s="16"/>
      <c r="C12" s="11"/>
      <c r="D12" s="11"/>
      <c r="E12" s="14"/>
      <c r="F12" s="14"/>
      <c r="G12" s="14"/>
      <c r="H12" s="14"/>
      <c r="I12" s="14"/>
      <c r="J12" s="14"/>
      <c r="K12" s="14"/>
      <c r="L12" s="1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>
      <c r="A13" s="2"/>
      <c r="B13" s="16"/>
      <c r="C13" s="11"/>
      <c r="D13" s="11"/>
      <c r="E13" s="14"/>
      <c r="F13" s="14"/>
      <c r="G13" s="14"/>
      <c r="H13" s="14"/>
      <c r="I13" s="14"/>
      <c r="J13" s="14"/>
      <c r="K13" s="14"/>
      <c r="L13" s="1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spans="1:55">
      <c r="A14" s="2"/>
      <c r="B14" s="16"/>
      <c r="C14" s="11"/>
      <c r="D14" s="11"/>
      <c r="E14" s="14"/>
      <c r="F14" s="14"/>
      <c r="G14" s="14"/>
      <c r="H14" s="14"/>
      <c r="I14" s="14"/>
      <c r="J14" s="14"/>
      <c r="K14" s="14"/>
      <c r="L14" s="1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spans="1:55">
      <c r="A15" s="2"/>
      <c r="B15" s="16"/>
      <c r="C15" s="11"/>
      <c r="D15" s="11"/>
      <c r="E15" s="14"/>
      <c r="F15" s="14"/>
      <c r="G15" s="14"/>
      <c r="H15" s="14"/>
      <c r="I15" s="14"/>
      <c r="J15" s="14"/>
      <c r="K15" s="14"/>
      <c r="L15" s="1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spans="1:55">
      <c r="A16" s="2"/>
      <c r="B16" s="16"/>
      <c r="C16" s="11"/>
      <c r="D16" s="11"/>
      <c r="E16" s="14"/>
      <c r="F16" s="14"/>
      <c r="G16" s="14"/>
      <c r="H16" s="14"/>
      <c r="I16" s="14"/>
      <c r="J16" s="14"/>
      <c r="K16" s="14"/>
      <c r="L16" s="1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spans="1:55">
      <c r="A17" s="2"/>
      <c r="B17" s="16"/>
      <c r="C17" s="11"/>
      <c r="D17" s="11"/>
      <c r="E17" s="14"/>
      <c r="F17" s="14"/>
      <c r="G17" s="14"/>
      <c r="H17" s="14"/>
      <c r="I17" s="14"/>
      <c r="J17" s="14"/>
      <c r="K17" s="14"/>
      <c r="L17" s="1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spans="1:55">
      <c r="A18" s="2"/>
      <c r="B18" s="16"/>
      <c r="C18" s="11"/>
      <c r="D18" s="11"/>
      <c r="E18" s="14"/>
      <c r="F18" s="14"/>
      <c r="G18" s="14"/>
      <c r="H18" s="14"/>
      <c r="I18" s="14"/>
      <c r="J18" s="14"/>
      <c r="K18" s="14"/>
      <c r="L18" s="1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spans="1:55">
      <c r="A19" s="2"/>
      <c r="B19" s="16"/>
      <c r="C19" s="11"/>
      <c r="D19" s="11"/>
      <c r="E19" s="14"/>
      <c r="F19" s="14"/>
      <c r="G19" s="14"/>
      <c r="H19" s="14"/>
      <c r="I19" s="14"/>
      <c r="J19" s="14"/>
      <c r="K19" s="14"/>
      <c r="L19" s="1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spans="1:55">
      <c r="A20" s="2"/>
      <c r="B20" s="16"/>
      <c r="C20" s="11"/>
      <c r="D20" s="11"/>
      <c r="E20" s="14"/>
      <c r="F20" s="14"/>
      <c r="G20" s="14"/>
      <c r="H20" s="14"/>
      <c r="I20" s="14"/>
      <c r="J20" s="14"/>
      <c r="K20" s="14"/>
      <c r="L20" s="1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spans="1:55">
      <c r="A21" s="2"/>
      <c r="B21" s="16"/>
      <c r="C21" s="11"/>
      <c r="D21" s="11"/>
      <c r="E21" s="14"/>
      <c r="F21" s="14"/>
      <c r="G21" s="14"/>
      <c r="H21" s="14"/>
      <c r="I21" s="14"/>
      <c r="J21" s="14"/>
      <c r="K21" s="14"/>
      <c r="L21" s="1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spans="1:55">
      <c r="A22" s="2"/>
      <c r="B22" s="16"/>
      <c r="C22" s="11"/>
      <c r="D22" s="11"/>
      <c r="E22" s="14"/>
      <c r="F22" s="14"/>
      <c r="G22" s="14"/>
      <c r="H22" s="14"/>
      <c r="I22" s="14"/>
      <c r="J22" s="14"/>
      <c r="K22" s="14"/>
      <c r="L22" s="1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spans="1:55">
      <c r="A23" s="2"/>
      <c r="B23" s="16"/>
      <c r="C23" s="11"/>
      <c r="D23" s="11"/>
      <c r="E23" s="14"/>
      <c r="F23" s="14"/>
      <c r="G23" s="14"/>
      <c r="H23" s="14"/>
      <c r="I23" s="14"/>
      <c r="J23" s="14"/>
      <c r="K23" s="14"/>
      <c r="L23" s="1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spans="1:55">
      <c r="A24" s="2"/>
      <c r="B24" s="16"/>
      <c r="C24" s="11"/>
      <c r="D24" s="11"/>
      <c r="E24" s="14"/>
      <c r="F24" s="14"/>
      <c r="G24" s="14"/>
      <c r="H24" s="14"/>
      <c r="I24" s="14"/>
      <c r="J24" s="14"/>
      <c r="K24" s="14"/>
      <c r="L24" s="1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spans="1:55">
      <c r="A25" s="2"/>
      <c r="B25" s="16"/>
      <c r="C25" s="11"/>
      <c r="D25" s="11"/>
      <c r="E25" s="14"/>
      <c r="F25" s="14"/>
      <c r="G25" s="14"/>
      <c r="H25" s="14"/>
      <c r="I25" s="14"/>
      <c r="J25" s="14"/>
      <c r="K25" s="14"/>
      <c r="L25" s="1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spans="1:55">
      <c r="A26" s="2"/>
      <c r="B26" s="16"/>
      <c r="C26" s="11"/>
      <c r="D26" s="11"/>
      <c r="E26" s="14"/>
      <c r="F26" s="14"/>
      <c r="G26" s="14"/>
      <c r="H26" s="14"/>
      <c r="I26" s="14"/>
      <c r="J26" s="14"/>
      <c r="K26" s="14"/>
      <c r="L26" s="1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spans="1:55">
      <c r="A27" s="2"/>
      <c r="B27" s="16"/>
      <c r="C27" s="11"/>
      <c r="D27" s="11"/>
      <c r="E27" s="14"/>
      <c r="F27" s="14"/>
      <c r="G27" s="14"/>
      <c r="H27" s="14"/>
      <c r="I27" s="14"/>
      <c r="J27" s="14"/>
      <c r="K27" s="14"/>
      <c r="L27" s="1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13.95" spans="1:55">
      <c r="A28" s="2"/>
      <c r="B28" s="18"/>
      <c r="C28" s="19"/>
      <c r="D28" s="19"/>
      <c r="E28" s="20"/>
      <c r="F28" s="20"/>
      <c r="G28" s="20"/>
      <c r="H28" s="20"/>
      <c r="I28" s="20"/>
      <c r="J28" s="20"/>
      <c r="K28" s="20"/>
      <c r="L28" s="2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13.95" spans="1:55">
      <c r="A29" s="2"/>
      <c r="B29" s="22" t="s">
        <v>172</v>
      </c>
      <c r="C29" s="23"/>
      <c r="D29" s="23">
        <f t="shared" ref="D29:K29" si="0">SUM(D6:D28)</f>
        <v>1800</v>
      </c>
      <c r="E29" s="23">
        <f t="shared" si="0"/>
        <v>84</v>
      </c>
      <c r="F29" s="23">
        <f t="shared" si="0"/>
        <v>370</v>
      </c>
      <c r="G29" s="23">
        <f t="shared" si="0"/>
        <v>120</v>
      </c>
      <c r="H29" s="23">
        <f t="shared" si="0"/>
        <v>1000</v>
      </c>
      <c r="I29" s="23">
        <f t="shared" si="0"/>
        <v>40</v>
      </c>
      <c r="J29" s="23">
        <f t="shared" si="0"/>
        <v>122</v>
      </c>
      <c r="K29" s="23">
        <f t="shared" si="0"/>
        <v>64</v>
      </c>
      <c r="L29" s="2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13.95" spans="1:55">
      <c r="A30" s="2"/>
      <c r="B30" s="2"/>
      <c r="C30" s="2"/>
      <c r="D30" s="2"/>
      <c r="E30" s="2"/>
      <c r="F30" s="2"/>
      <c r="G30" s="2"/>
      <c r="H30" s="2"/>
      <c r="I30" s="2"/>
      <c r="J30" s="25" t="s">
        <v>173</v>
      </c>
      <c r="K30" s="25"/>
      <c r="L30" s="26">
        <v>8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13.95" spans="1:55">
      <c r="A31" s="2"/>
      <c r="B31" s="27" t="s">
        <v>174</v>
      </c>
      <c r="C31" s="28"/>
      <c r="D31" s="29"/>
      <c r="E31" s="30">
        <f t="shared" ref="E31:K31" si="1">(E29*1)/$D$29</f>
        <v>0.0466666666666667</v>
      </c>
      <c r="F31" s="30">
        <f t="shared" si="1"/>
        <v>0.205555555555556</v>
      </c>
      <c r="G31" s="30">
        <f t="shared" si="1"/>
        <v>0.0666666666666667</v>
      </c>
      <c r="H31" s="30">
        <f t="shared" si="1"/>
        <v>0.555555555555556</v>
      </c>
      <c r="I31" s="30">
        <f t="shared" si="1"/>
        <v>0.0222222222222222</v>
      </c>
      <c r="J31" s="30">
        <f t="shared" si="1"/>
        <v>0.0677777777777778</v>
      </c>
      <c r="K31" s="30">
        <f t="shared" si="1"/>
        <v>0.0355555555555556</v>
      </c>
      <c r="L31" s="31">
        <f>SUM(E31:K31)</f>
        <v>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</sheetData>
  <mergeCells count="2">
    <mergeCell ref="B1:L1"/>
    <mergeCell ref="J30:K30"/>
  </mergeCell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LibreOffice/26.2.3.2$Windows_X86_64 LibreOffice_project/70e089b17412e4cb7773e41413306b17a2328c34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Geral</vt:lpstr>
      <vt:lpstr>Atores</vt:lpstr>
      <vt:lpstr>RFS ou RFC</vt:lpstr>
      <vt:lpstr>Fatores</vt:lpstr>
      <vt:lpstr>dadoshistoricos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clara</cp:lastModifiedBy>
  <cp:revision>4</cp:revision>
  <dcterms:created xsi:type="dcterms:W3CDTF">2005-01-11T13:43:00Z</dcterms:created>
  <cp:lastPrinted>2005-01-20T13:04:00Z</cp:lastPrinted>
  <dcterms:modified xsi:type="dcterms:W3CDTF">2026-06-01T14:03:06Z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AFE10A8093A94E649173543640FA5A66_12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